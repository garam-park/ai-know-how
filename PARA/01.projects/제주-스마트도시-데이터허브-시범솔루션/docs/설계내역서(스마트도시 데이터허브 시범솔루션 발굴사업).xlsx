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8_{0393B532-04B6-49A3-BE71-72CD4C98C04D}" xr6:coauthVersionLast="47" xr6:coauthVersionMax="47" xr10:uidLastSave="{00000000-0000-0000-0000-000000000000}"/>
  <bookViews>
    <workbookView xWindow="-22680" yWindow="-21960" windowWidth="38640" windowHeight="21120" firstSheet="9" activeTab="12" xr2:uid="{00000000-000D-0000-FFFF-FFFF00000000}"/>
  </bookViews>
  <sheets>
    <sheet name="SW세부산출내역" sheetId="12" r:id="rId1"/>
    <sheet name="상세내역" sheetId="9" r:id="rId2"/>
    <sheet name="01. 데이터 수집·통합·표준화 개발 용역" sheetId="5" r:id="rId3"/>
    <sheet name="01. 데이터 수집·통합·표준화 FP산정" sheetId="6" r:id="rId4"/>
    <sheet name="02.데이터 전처리 용역" sheetId="1" r:id="rId5"/>
    <sheet name="02.데이터 전처리 FP산정" sheetId="4" r:id="rId6"/>
    <sheet name="03.데이터 분석 기능 개발 용역" sheetId="20" r:id="rId7"/>
    <sheet name="04.데이터 분석 기능 FP산정" sheetId="21" r:id="rId8"/>
    <sheet name="04. LLM 기반 자연어 처리 응용 기능 용역" sheetId="7" r:id="rId9"/>
    <sheet name="04.LLM 기반 자연어 처리 응용 기능 산정" sheetId="8" r:id="rId10"/>
    <sheet name="05.AI Assistant 기능 개발 용역" sheetId="13" r:id="rId11"/>
    <sheet name="05.AI Assistant 기능 FP산정" sheetId="14" r:id="rId12"/>
    <sheet name="06.대시보드 및 시각화 개발 용역" sheetId="22" r:id="rId13"/>
    <sheet name="06.대시보드 및 시각화 FP산정" sheetId="23" r:id="rId14"/>
    <sheet name="07. 데이터 표준화 모델" sheetId="24" r:id="rId15"/>
    <sheet name="07. 25년 SW기술자 평균임금" sheetId="25" r:id="rId16"/>
    <sheet name="07. ITSQF 직무체계 및 정의" sheetId="26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1DP2_">[1]FB25JN!$L$3:$M$3</definedName>
    <definedName name="_Order1" hidden="1">255</definedName>
    <definedName name="_Order2" hidden="1">255</definedName>
    <definedName name="☞_기능점수__산정방법_선택">'[2]01.수집모듈(FP)'!#REF!</definedName>
    <definedName name="A" localSheetId="0">#REF!</definedName>
    <definedName name="A">#REF!</definedName>
    <definedName name="ACC">[3]FB25JN!$L$3:$M$3</definedName>
    <definedName name="ACCESS">[3]FB25JN!$L$3:$M$3</definedName>
    <definedName name="ACCESS2">[3]FB25JN!$L$6:$M$6</definedName>
    <definedName name="adfdf" localSheetId="0">[4]수량집계!#REF!</definedName>
    <definedName name="adfdf">[4]수량집계!#REF!</definedName>
    <definedName name="afc">[5]수량산출1!$A$528:$AB$626</definedName>
    <definedName name="AFC설비" localSheetId="0">#REF!</definedName>
    <definedName name="AFC설비">#REF!</definedName>
    <definedName name="b" localSheetId="0">#REF!</definedName>
    <definedName name="b">#REF!</definedName>
    <definedName name="BASIC">[6]BASIC!$A$1:$D$340</definedName>
    <definedName name="CCTV설비" localSheetId="0">#REF!</definedName>
    <definedName name="CCTV설비">#REF!</definedName>
    <definedName name="CODE">[7]공종코드!$A$5:$E$359</definedName>
    <definedName name="CODEA" localSheetId="0">#REF!</definedName>
    <definedName name="CODEA">#REF!</definedName>
    <definedName name="CODEB" localSheetId="0">#REF!</definedName>
    <definedName name="CODEB">#REF!</definedName>
    <definedName name="cost">[8]cost!$A$2:$V$224</definedName>
    <definedName name="Dp" localSheetId="0">#REF!</definedName>
    <definedName name="Dp">#REF!</definedName>
    <definedName name="HANIWALL_FB" localSheetId="0">#REF!</definedName>
    <definedName name="HANIWALL_FB">#REF!</definedName>
    <definedName name="HANIWALL_GC" localSheetId="0">#REF!</definedName>
    <definedName name="HANIWALL_GC">#REF!</definedName>
    <definedName name="MDL">[9]sheet1!$A$1:$A$65536</definedName>
    <definedName name="MODEL" localSheetId="0">#REF!</definedName>
    <definedName name="MODEL">#REF!</definedName>
    <definedName name="PL50T" localSheetId="0">#REF!</definedName>
    <definedName name="PL50T">#REF!</definedName>
    <definedName name="_xlnm.Print_Area" localSheetId="2">'01. 데이터 수집·통합·표준화 개발 용역'!$A$1:$K$42</definedName>
    <definedName name="_xlnm.Print_Area" localSheetId="4">'02.데이터 전처리 용역'!$A$1:$K$42</definedName>
    <definedName name="_xlnm.Print_Area" localSheetId="6">'03.데이터 분석 기능 개발 용역'!$A$1:$K$42</definedName>
    <definedName name="_xlnm.Print_Area" localSheetId="8">'04. LLM 기반 자연어 처리 응용 기능 용역'!$A$1:$K$42</definedName>
    <definedName name="_xlnm.Print_Area" localSheetId="10">'05.AI Assistant 기능 개발 용역'!$A$1:$K$42</definedName>
    <definedName name="_xlnm.Print_Area" localSheetId="12">'06.대시보드 및 시각화 개발 용역'!$A$1:$K$42</definedName>
    <definedName name="_xlnm.Print_Area" localSheetId="14">'07. 데이터 표준화 모델'!$A$1:$H$21</definedName>
    <definedName name="_xlnm.Print_Area" localSheetId="0">SW세부산출내역!$B$1:$J$41</definedName>
    <definedName name="_xlnm.Print_Titles" localSheetId="16">'07. ITSQF 직무체계 및 정의'!#REF!</definedName>
    <definedName name="RANGE" localSheetId="0">#REF!</definedName>
    <definedName name="RANGE">#REF!</definedName>
    <definedName name="rhd" localSheetId="0">[4]수량집계!#REF!</definedName>
    <definedName name="rhd">[4]수량집계!#REF!</definedName>
    <definedName name="RNG">[9]sheet1!$A$1:$D$65536</definedName>
    <definedName name="SERVER" localSheetId="0">#REF!</definedName>
    <definedName name="SERVER">#REF!</definedName>
    <definedName name="SM" localSheetId="0">#REF!</definedName>
    <definedName name="SM">#REF!</definedName>
    <definedName name="sngc50t">[10]FB25JN!$L$6:$M$6</definedName>
    <definedName name="SVR" localSheetId="0">#REF!</definedName>
    <definedName name="SVR">#REF!</definedName>
    <definedName name="SVRAG" localSheetId="0">#REF!</definedName>
    <definedName name="SVRAG">#REF!</definedName>
    <definedName name="SVRDESC" localSheetId="0">#REF!</definedName>
    <definedName name="SVRDESC">#REF!</definedName>
    <definedName name="TABLE" localSheetId="0">[4]수량집계!#REF!</definedName>
    <definedName name="TABLE">[4]수량집계!#REF!</definedName>
    <definedName name="TABLE_14" localSheetId="0">[4]수량집계!#REF!</definedName>
    <definedName name="TABLE_14">[4]수량집계!#REF!</definedName>
    <definedName name="TABLE_15" localSheetId="0">[4]수량집계!#REF!</definedName>
    <definedName name="TABLE_15">[4]수량집계!#REF!</definedName>
    <definedName name="TABLE_2" localSheetId="0">[4]수량집계!#REF!</definedName>
    <definedName name="TABLE_2">[4]수량집계!#REF!</definedName>
    <definedName name="TABLE_23" localSheetId="0">[4]수량집계!#REF!</definedName>
    <definedName name="TABLE_23">[4]수량집계!#REF!</definedName>
    <definedName name="TABLE_24" localSheetId="0">[4]수량집계!#REF!</definedName>
    <definedName name="TABLE_24">[4]수량집계!#REF!</definedName>
    <definedName name="TABLE_25" localSheetId="0">[4]수량집계!#REF!</definedName>
    <definedName name="TABLE_25">[4]수량집계!#REF!</definedName>
    <definedName name="TABLE_26" localSheetId="0">[4]수량집계!#REF!</definedName>
    <definedName name="TABLE_26">[4]수량집계!#REF!</definedName>
    <definedName name="TABLE_27" localSheetId="0">[4]수량집계!#REF!</definedName>
    <definedName name="TABLE_27">[4]수량집계!#REF!</definedName>
    <definedName name="TABLE_28" localSheetId="0">[4]수량집계!#REF!</definedName>
    <definedName name="TABLE_28">[4]수량집계!#REF!</definedName>
    <definedName name="TABLE_29" localSheetId="0">[4]수량집계!#REF!</definedName>
    <definedName name="TABLE_29">[4]수량집계!#REF!</definedName>
    <definedName name="TABLE_30" localSheetId="0">[4]수량집계!#REF!</definedName>
    <definedName name="TABLE_30">[4]수량집계!#REF!</definedName>
    <definedName name="TABLE_31" localSheetId="0">[4]수량집계!#REF!</definedName>
    <definedName name="TABLE_31">[4]수량집계!#REF!</definedName>
    <definedName name="TABLE_32" localSheetId="0">[4]수량집계!#REF!</definedName>
    <definedName name="TABLE_32">[4]수량집계!#REF!</definedName>
    <definedName name="TABLE_33" localSheetId="0">[4]수량집계!#REF!</definedName>
    <definedName name="TABLE_33">[4]수량집계!#REF!</definedName>
    <definedName name="TABLE_34" localSheetId="0">[4]수량집계!#REF!</definedName>
    <definedName name="TABLE_34">[4]수량집계!#REF!</definedName>
    <definedName name="TABLE_35" localSheetId="0">[4]수량집계!#REF!</definedName>
    <definedName name="TABLE_35">[4]수량집계!#REF!</definedName>
    <definedName name="TABLE_36" localSheetId="0">[4]수량집계!#REF!</definedName>
    <definedName name="TABLE_36">[4]수량집계!#REF!</definedName>
    <definedName name="TABLE_37" localSheetId="0">[4]수량집계!#REF!</definedName>
    <definedName name="TABLE_37">[4]수량집계!#REF!</definedName>
    <definedName name="TABLE_38" localSheetId="0">[4]수량집계!#REF!</definedName>
    <definedName name="TABLE_38">[4]수량집계!#REF!</definedName>
    <definedName name="TABLE_39" localSheetId="0">[4]수량집계!#REF!</definedName>
    <definedName name="TABLE_39">[4]수량집계!#REF!</definedName>
    <definedName name="TABLE_40" localSheetId="0">[4]수량집계!#REF!</definedName>
    <definedName name="TABLE_40">[4]수량집계!#REF!</definedName>
    <definedName name="TABLE_41" localSheetId="0">[4]수량집계!#REF!</definedName>
    <definedName name="TABLE_41">[4]수량집계!#REF!</definedName>
    <definedName name="TABLE_42" localSheetId="0">[4]수량집계!#REF!</definedName>
    <definedName name="TABLE_42">[4]수량집계!#REF!</definedName>
    <definedName name="TABLE_43" localSheetId="0">[4]수량집계!#REF!</definedName>
    <definedName name="TABLE_43">[4]수량집계!#REF!</definedName>
    <definedName name="TABLE_44" localSheetId="0">[4]수량집계!#REF!</definedName>
    <definedName name="TABLE_44">[4]수량집계!#REF!</definedName>
    <definedName name="TABLE_45" localSheetId="0">[4]수량집계!#REF!</definedName>
    <definedName name="TABLE_45">[4]수량집계!#REF!</definedName>
    <definedName name="TABLE_46" localSheetId="0">[4]수량집계!#REF!</definedName>
    <definedName name="TABLE_46">[4]수량집계!#REF!</definedName>
    <definedName name="TABLE_47" localSheetId="0">[4]수량집계!#REF!</definedName>
    <definedName name="TABLE_47">[4]수량집계!#REF!</definedName>
    <definedName name="TABLE_48" localSheetId="0">[4]수량집계!#REF!</definedName>
    <definedName name="TABLE_48">[4]수량집계!#REF!</definedName>
    <definedName name="TABLE_49" localSheetId="0">[4]수량집계!#REF!</definedName>
    <definedName name="TABLE_49">[4]수량집계!#REF!</definedName>
    <definedName name="TABLE_50" localSheetId="0">[4]수량집계!#REF!</definedName>
    <definedName name="TABLE_50">[4]수량집계!#REF!</definedName>
    <definedName name="TABLE_51" localSheetId="0">[4]수량집계!#REF!</definedName>
    <definedName name="TABLE_51">[4]수량집계!#REF!</definedName>
    <definedName name="TABLE_52" localSheetId="0">[4]수량집계!#REF!</definedName>
    <definedName name="TABLE_52">[4]수량집계!#REF!</definedName>
    <definedName name="TABLE_53" localSheetId="0">[4]수량집계!#REF!</definedName>
    <definedName name="TABLE_53">[4]수량집계!#REF!</definedName>
    <definedName name="TABLE_54" localSheetId="0">[4]수량집계!#REF!</definedName>
    <definedName name="TABLE_54">[4]수량집계!#REF!</definedName>
    <definedName name="TABLE_55" localSheetId="0">[4]수량집계!#REF!</definedName>
    <definedName name="TABLE_55">[4]수량집계!#REF!</definedName>
    <definedName name="TABLE_56" localSheetId="0">[4]수량집계!#REF!</definedName>
    <definedName name="TABLE_56">[4]수량집계!#REF!</definedName>
    <definedName name="TABLE_57" localSheetId="0">[4]수량집계!#REF!</definedName>
    <definedName name="TABLE_57">[4]수량집계!#REF!</definedName>
    <definedName name="TABLE_58" localSheetId="0">[4]수량집계!#REF!</definedName>
    <definedName name="TABLE_58">[4]수량집계!#REF!</definedName>
    <definedName name="TABLE_59" localSheetId="0">[4]수량집계!#REF!</definedName>
    <definedName name="TABLE_59">[4]수량집계!#REF!</definedName>
    <definedName name="TABLE_60" localSheetId="0">[4]수량집계!#REF!</definedName>
    <definedName name="TABLE_60">[4]수량집계!#REF!</definedName>
    <definedName name="TABLE_61" localSheetId="0">[4]수량집계!#REF!</definedName>
    <definedName name="TABLE_61">[4]수량집계!#REF!</definedName>
    <definedName name="TABLE_62" localSheetId="0">[4]수량집계!#REF!</definedName>
    <definedName name="TABLE_62">[4]수량집계!#REF!</definedName>
    <definedName name="TABLE_63" localSheetId="0">[4]수량집계!#REF!</definedName>
    <definedName name="TABLE_63">[4]수량집계!#REF!</definedName>
    <definedName name="TABLE_64" localSheetId="0">[4]수량집계!#REF!</definedName>
    <definedName name="TABLE_64">[4]수량집계!#REF!</definedName>
    <definedName name="TABLE_65" localSheetId="0">[4]수량집계!#REF!</definedName>
    <definedName name="TABLE_65">[4]수량집계!#REF!</definedName>
    <definedName name="TABLE_66" localSheetId="0">[4]수량집계!#REF!</definedName>
    <definedName name="TABLE_66">[4]수량집계!#REF!</definedName>
    <definedName name="TABLE_67" localSheetId="0">[4]수량집계!#REF!</definedName>
    <definedName name="TABLE_67">[4]수량집계!#REF!</definedName>
    <definedName name="TABLE_68" localSheetId="0">[4]수량집계!#REF!</definedName>
    <definedName name="TABLE_68">[4]수량집계!#REF!</definedName>
    <definedName name="TABLE_69" localSheetId="0">[4]수량집계!#REF!</definedName>
    <definedName name="TABLE_69">[4]수량집계!#REF!</definedName>
    <definedName name="TK" localSheetId="0">#REF!</definedName>
    <definedName name="TK">#REF!</definedName>
    <definedName name="TV공시청" localSheetId="0">#REF!</definedName>
    <definedName name="TV공시청">#REF!</definedName>
    <definedName name="TV설비" localSheetId="0">#REF!</definedName>
    <definedName name="TV설비">#REF!</definedName>
    <definedName name="unit">[11]UNIT!$A$1:$J$101</definedName>
    <definedName name="강경" localSheetId="0">#REF!</definedName>
    <definedName name="강경">#REF!</definedName>
    <definedName name="공비산출서" localSheetId="0">#REF!</definedName>
    <definedName name="공비산출서">#REF!</definedName>
    <definedName name="관급자재완료" localSheetId="0">[12]총괄집계표!#REF!</definedName>
    <definedName name="관급자재완료">[12]총괄집계표!#REF!</definedName>
    <definedName name="관급총괄">[13]관급총괄!$G$37</definedName>
    <definedName name="구간산출" localSheetId="0">#REF!</definedName>
    <definedName name="구간산출">#REF!</definedName>
    <definedName name="구간집계" localSheetId="0">#REF!</definedName>
    <definedName name="구간집계">#REF!</definedName>
    <definedName name="규격" localSheetId="0">#REF!</definedName>
    <definedName name="규격">#REF!</definedName>
    <definedName name="기능점수방법선택">'[2]01.수집모듈(FP)'!#REF!</definedName>
    <definedName name="ㄴㅇㄹㄹㄹㄹㄹ" localSheetId="0">#REF!</definedName>
    <definedName name="ㄴㅇㄹㄹㄹㄹㄹ">#REF!</definedName>
    <definedName name="내역서" localSheetId="0">#REF!</definedName>
    <definedName name="내역서">#REF!</definedName>
    <definedName name="내역서1" localSheetId="0">#REF!</definedName>
    <definedName name="내역서1">#REF!</definedName>
    <definedName name="노임단가" localSheetId="0">#REF!</definedName>
    <definedName name="노임단가">#REF!</definedName>
    <definedName name="논산" localSheetId="0">#REF!</definedName>
    <definedName name="논산">#REF!</definedName>
    <definedName name="다산" localSheetId="0">#REF!</definedName>
    <definedName name="다산">#REF!</definedName>
    <definedName name="단가" localSheetId="0">#REF!</definedName>
    <definedName name="단가">#REF!</definedName>
    <definedName name="동원" localSheetId="0">#REF!</definedName>
    <definedName name="동원">#REF!</definedName>
    <definedName name="동원1" localSheetId="0">#REF!</definedName>
    <definedName name="동원1">#REF!</definedName>
    <definedName name="ㅁ1186" localSheetId="0">#REF!</definedName>
    <definedName name="ㅁ1186">#REF!</definedName>
    <definedName name="ㅁ545" localSheetId="0">#REF!</definedName>
    <definedName name="ㅁ545">#REF!</definedName>
    <definedName name="문">[14]문산!$B$5:$N$99</definedName>
    <definedName name="문서의_처음" localSheetId="0">[4]수량집계!#REF!</definedName>
    <definedName name="문서의_처음">[4]수량집계!#REF!</definedName>
    <definedName name="방송설비" localSheetId="0">#REF!</definedName>
    <definedName name="방송설비">#REF!</definedName>
    <definedName name="변전설비수량" localSheetId="0">#REF!</definedName>
    <definedName name="변전설비수량">#REF!</definedName>
    <definedName name="변전설비집계" localSheetId="0">#REF!</definedName>
    <definedName name="변전설비집계">#REF!</definedName>
    <definedName name="부대비" localSheetId="0">#REF!</definedName>
    <definedName name="부대비">#REF!</definedName>
    <definedName name="사유">[5]일위대가!$B$3:$I$2091</definedName>
    <definedName name="산출">[15]일위산출!$B$2:$AO$7051</definedName>
    <definedName name="산출근거" localSheetId="0">#REF!</definedName>
    <definedName name="산출근거">#REF!</definedName>
    <definedName name="서울수량계산" localSheetId="0">#REF!</definedName>
    <definedName name="서울수량계산">#REF!</definedName>
    <definedName name="설계내역" localSheetId="0">#REF!</definedName>
    <definedName name="설계내역">#REF!</definedName>
    <definedName name="수량계산" localSheetId="0">#REF!</definedName>
    <definedName name="수량계산">#REF!</definedName>
    <definedName name="수량계산1" localSheetId="0">#REF!</definedName>
    <definedName name="수량계산1">#REF!</definedName>
    <definedName name="수량산출" localSheetId="0">#REF!</definedName>
    <definedName name="수량산출">#REF!</definedName>
    <definedName name="수량집계1" localSheetId="0">#REF!</definedName>
    <definedName name="수량집계1">#REF!</definedName>
    <definedName name="수량집계2" localSheetId="0">#REF!</definedName>
    <definedName name="수량집계2">#REF!</definedName>
    <definedName name="신노">'[16]2공종별예산조서'!$J$231</definedName>
    <definedName name="신재">'[16]2공종별예산조서'!$H$231</definedName>
    <definedName name="ㅇㄴㄹㄹㄹㄹㄹㄹㄹㄹ" localSheetId="0">#REF!</definedName>
    <definedName name="ㅇㄴㄹㄹㄹㄹㄹㄹㄹㄹ">#REF!</definedName>
    <definedName name="역산출" localSheetId="0">#REF!</definedName>
    <definedName name="역산출">#REF!</definedName>
    <definedName name="역집계" localSheetId="0">#REF!</definedName>
    <definedName name="역집계">#REF!</definedName>
    <definedName name="예산" localSheetId="0">#REF!</definedName>
    <definedName name="예산">#REF!</definedName>
    <definedName name="용동" localSheetId="0">#REF!</definedName>
    <definedName name="용동">#REF!</definedName>
    <definedName name="용산수량계산" localSheetId="0">#REF!</definedName>
    <definedName name="용산수량계산">#REF!</definedName>
    <definedName name="운" localSheetId="0">#REF!</definedName>
    <definedName name="운">#REF!</definedName>
    <definedName name="운반비">'[17]운반비(시흥)'!$D$20</definedName>
    <definedName name="운반중량" localSheetId="0">[4]총괄집계표!#REF!</definedName>
    <definedName name="운반중량">[4]총괄집계표!#REF!</definedName>
    <definedName name="운반집" localSheetId="0">[4]총괄집계표!#REF!</definedName>
    <definedName name="운반집">[4]총괄집계표!#REF!</definedName>
    <definedName name="운반집계" localSheetId="0">[4]총괄집계표!#REF!</definedName>
    <definedName name="운반집계">[4]총괄집계표!#REF!</definedName>
    <definedName name="원가계산서" localSheetId="0">#REF!</definedName>
    <definedName name="원가계산서">#REF!</definedName>
    <definedName name="이름" localSheetId="0">#REF!</definedName>
    <definedName name="이름">#REF!</definedName>
    <definedName name="인력품" localSheetId="0">#REF!</definedName>
    <definedName name="인력품">#REF!</definedName>
    <definedName name="일반통신" localSheetId="0">#REF!</definedName>
    <definedName name="일반통신">#REF!</definedName>
    <definedName name="일반통신설비" localSheetId="0">#REF!</definedName>
    <definedName name="일반통신설비">#REF!</definedName>
    <definedName name="일위" localSheetId="0">#REF!</definedName>
    <definedName name="일위">#REF!</definedName>
    <definedName name="일위대가" localSheetId="0">#REF!</definedName>
    <definedName name="일위대가">#REF!</definedName>
    <definedName name="일위대가1" localSheetId="0">#REF!</definedName>
    <definedName name="일위대가1">#REF!</definedName>
    <definedName name="일위대가표" localSheetId="0">[18]수량산출!#REF!</definedName>
    <definedName name="일위대가표">[18]수량산출!#REF!</definedName>
    <definedName name="일위산출" localSheetId="0">#REF!</definedName>
    <definedName name="일위산출">#REF!</definedName>
    <definedName name="일위산출1" localSheetId="0">#REF!</definedName>
    <definedName name="일위산출1">#REF!</definedName>
    <definedName name="일위수량" localSheetId="0">#REF!</definedName>
    <definedName name="일위수량">#REF!</definedName>
    <definedName name="자동화재탐지설비" localSheetId="0">#REF!</definedName>
    <definedName name="자동화재탐지설비">#REF!</definedName>
    <definedName name="자동화재탐지설비1">[5]수량산출1!$A$632:$AB$699</definedName>
    <definedName name="자재1">[5]자재단가표!$A$4:$N$168</definedName>
    <definedName name="자재단가" localSheetId="0">#REF!</definedName>
    <definedName name="자재단가">#REF!</definedName>
    <definedName name="자재단가표" localSheetId="0">#REF!</definedName>
    <definedName name="자재단가표">#REF!</definedName>
    <definedName name="제조사선택목록" localSheetId="0">#REF!</definedName>
    <definedName name="제조사선택목록">#REF!</definedName>
    <definedName name="지" localSheetId="0">#REF!</definedName>
    <definedName name="지">#REF!</definedName>
    <definedName name="ㅊ1555" localSheetId="0">#REF!</definedName>
    <definedName name="ㅊ1555">#REF!</definedName>
    <definedName name="채운" localSheetId="0">#REF!</definedName>
    <definedName name="채운">#REF!</definedName>
    <definedName name="총괄표" localSheetId="0">#REF!</definedName>
    <definedName name="총괄표">#REF!</definedName>
    <definedName name="ㅌ334" localSheetId="0">#REF!</definedName>
    <definedName name="ㅌ334">#REF!</definedName>
    <definedName name="ㅌ697" localSheetId="0">#REF!</definedName>
    <definedName name="ㅌ697">#REF!</definedName>
    <definedName name="통신감리" localSheetId="0">#REF!</definedName>
    <definedName name="통신감리">#REF!</definedName>
    <definedName name="표주설치" localSheetId="0">#REF!</definedName>
    <definedName name="표주설치">#REF!</definedName>
    <definedName name="품명" localSheetId="0">#REF!</definedName>
    <definedName name="품명">#REF!</definedName>
    <definedName name="함열" localSheetId="0">#REF!</definedName>
    <definedName name="함열">#REF!</definedName>
    <definedName name="행선1">[5]수량산출1!$A$485:$AB$515</definedName>
    <definedName name="행선안내게시기설비" localSheetId="0">#REF!</definedName>
    <definedName name="행선안내게시기설비">#REF!</definedName>
    <definedName name="호표" localSheetId="0">#REF!</definedName>
    <definedName name="호표">#REF!</definedName>
    <definedName name="화탐설비" localSheetId="0">#REF!</definedName>
    <definedName name="화탐설비">#REF!</definedName>
    <definedName name="황동" localSheetId="0">#REF!</definedName>
    <definedName name="황동">#REF!</definedName>
    <definedName name="ㅑ281" localSheetId="0">#REF!</definedName>
    <definedName name="ㅑ281">#REF!</definedName>
    <definedName name="ㅓ312" localSheetId="0">#REF!</definedName>
    <definedName name="ㅓ312">#REF!</definedName>
    <definedName name="ㅛ128" localSheetId="0">#REF!</definedName>
    <definedName name="ㅛ128">#REF!</definedName>
    <definedName name="ㅛ283" localSheetId="0">#REF!</definedName>
    <definedName name="ㅛ28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4" l="1"/>
  <c r="E10" i="24"/>
  <c r="H10" i="24" s="1"/>
  <c r="E9" i="24"/>
  <c r="H9" i="24" s="1"/>
  <c r="E8" i="24"/>
  <c r="H8" i="24" s="1"/>
  <c r="E7" i="24"/>
  <c r="H7" i="24" s="1"/>
  <c r="E6" i="24"/>
  <c r="H6" i="24" s="1"/>
  <c r="F12" i="24" l="1"/>
  <c r="F13" i="24" l="1"/>
  <c r="F16" i="24" l="1"/>
  <c r="F14" i="24"/>
  <c r="F18" i="24" l="1"/>
  <c r="F19" i="24" s="1"/>
  <c r="I20" i="9" s="1"/>
  <c r="J20" i="9" s="1"/>
  <c r="F30" i="14" l="1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F4" i="23" l="1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5" i="8" l="1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31" i="6" l="1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J26" i="5" l="1"/>
  <c r="G31" i="22" l="1"/>
  <c r="F31" i="22"/>
  <c r="E31" i="22"/>
  <c r="D31" i="22"/>
  <c r="H30" i="22"/>
  <c r="G30" i="22"/>
  <c r="F30" i="22"/>
  <c r="E30" i="22"/>
  <c r="D30" i="22"/>
  <c r="G77" i="23"/>
  <c r="F61" i="23"/>
  <c r="F62" i="23"/>
  <c r="J26" i="22"/>
  <c r="I7" i="22" s="1"/>
  <c r="J25" i="22"/>
  <c r="J24" i="22"/>
  <c r="J23" i="22"/>
  <c r="F7" i="22" s="1"/>
  <c r="J18" i="22"/>
  <c r="H7" i="22"/>
  <c r="G7" i="22"/>
  <c r="G31" i="20"/>
  <c r="E31" i="20"/>
  <c r="H30" i="20"/>
  <c r="G30" i="20"/>
  <c r="F30" i="20"/>
  <c r="E30" i="20"/>
  <c r="D30" i="20"/>
  <c r="G41" i="21"/>
  <c r="J26" i="20"/>
  <c r="I7" i="20" s="1"/>
  <c r="J25" i="20"/>
  <c r="J24" i="20"/>
  <c r="J23" i="20"/>
  <c r="F7" i="20" s="1"/>
  <c r="J18" i="20"/>
  <c r="H7" i="20"/>
  <c r="G7" i="20"/>
  <c r="D31" i="20" l="1"/>
  <c r="F31" i="20"/>
  <c r="H31" i="22"/>
  <c r="I31" i="22" s="1"/>
  <c r="H32" i="22" s="1"/>
  <c r="I30" i="22"/>
  <c r="F26" i="21"/>
  <c r="H31" i="20"/>
  <c r="I30" i="20"/>
  <c r="F42" i="4"/>
  <c r="F43" i="4"/>
  <c r="F15" i="4"/>
  <c r="F16" i="4"/>
  <c r="F17" i="4"/>
  <c r="F18" i="4"/>
  <c r="F19" i="4"/>
  <c r="F20" i="4"/>
  <c r="F5" i="4"/>
  <c r="F6" i="4"/>
  <c r="F7" i="4"/>
  <c r="F8" i="4"/>
  <c r="F9" i="4"/>
  <c r="F10" i="4"/>
  <c r="F11" i="4"/>
  <c r="F12" i="4"/>
  <c r="F13" i="4"/>
  <c r="F1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4" i="4"/>
  <c r="F45" i="4"/>
  <c r="F46" i="4"/>
  <c r="F47" i="4"/>
  <c r="F48" i="4"/>
  <c r="F49" i="4"/>
  <c r="F50" i="4"/>
  <c r="F51" i="4"/>
  <c r="F52" i="4"/>
  <c r="F53" i="4"/>
  <c r="F21" i="4"/>
  <c r="F22" i="4"/>
  <c r="F23" i="4"/>
  <c r="F24" i="4"/>
  <c r="I31" i="20" l="1"/>
  <c r="E32" i="20" s="1"/>
  <c r="D32" i="22"/>
  <c r="A7" i="22"/>
  <c r="J22" i="22" s="1"/>
  <c r="E7" i="22" s="1"/>
  <c r="J7" i="22" s="1"/>
  <c r="J8" i="22" s="1"/>
  <c r="E32" i="22"/>
  <c r="G32" i="22"/>
  <c r="F32" i="22"/>
  <c r="G31" i="13"/>
  <c r="E31" i="13"/>
  <c r="H30" i="13"/>
  <c r="G30" i="13"/>
  <c r="F30" i="13"/>
  <c r="E30" i="13"/>
  <c r="D30" i="13"/>
  <c r="E31" i="7"/>
  <c r="H30" i="7"/>
  <c r="G30" i="7"/>
  <c r="F30" i="7"/>
  <c r="E30" i="7"/>
  <c r="D30" i="7"/>
  <c r="F25" i="6"/>
  <c r="F26" i="6"/>
  <c r="F27" i="6"/>
  <c r="F28" i="6"/>
  <c r="F29" i="6"/>
  <c r="F30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G31" i="5"/>
  <c r="D30" i="5"/>
  <c r="H30" i="5"/>
  <c r="G30" i="5"/>
  <c r="F30" i="5"/>
  <c r="E30" i="5"/>
  <c r="G47" i="14"/>
  <c r="F31" i="14"/>
  <c r="D31" i="13"/>
  <c r="J26" i="13"/>
  <c r="I7" i="13" s="1"/>
  <c r="J25" i="13"/>
  <c r="H7" i="13" s="1"/>
  <c r="J24" i="13"/>
  <c r="G7" i="13" s="1"/>
  <c r="J23" i="13"/>
  <c r="F7" i="13" s="1"/>
  <c r="J18" i="13"/>
  <c r="E31" i="5" l="1"/>
  <c r="A7" i="20"/>
  <c r="C22" i="20" s="1"/>
  <c r="D32" i="20"/>
  <c r="H32" i="20"/>
  <c r="F32" i="20"/>
  <c r="G32" i="20"/>
  <c r="I32" i="22"/>
  <c r="C22" i="22"/>
  <c r="J9" i="22"/>
  <c r="J11" i="22" s="1"/>
  <c r="J22" i="20"/>
  <c r="E7" i="20" s="1"/>
  <c r="J7" i="20" s="1"/>
  <c r="J8" i="20" s="1"/>
  <c r="J9" i="20" s="1"/>
  <c r="J11" i="20" s="1"/>
  <c r="F31" i="13"/>
  <c r="F32" i="14"/>
  <c r="H31" i="13"/>
  <c r="F31" i="5"/>
  <c r="I30" i="13"/>
  <c r="I5" i="9"/>
  <c r="H7" i="9" s="1"/>
  <c r="G149" i="8"/>
  <c r="F133" i="8"/>
  <c r="G31" i="7"/>
  <c r="F4" i="8"/>
  <c r="J26" i="7"/>
  <c r="I7" i="7" s="1"/>
  <c r="J25" i="7"/>
  <c r="H7" i="7" s="1"/>
  <c r="J24" i="7"/>
  <c r="G7" i="7" s="1"/>
  <c r="J23" i="7"/>
  <c r="F7" i="7" s="1"/>
  <c r="J18" i="7"/>
  <c r="G70" i="6"/>
  <c r="F54" i="6"/>
  <c r="F4" i="6"/>
  <c r="I30" i="5"/>
  <c r="I7" i="5"/>
  <c r="J25" i="5"/>
  <c r="H7" i="5" s="1"/>
  <c r="J24" i="5"/>
  <c r="J23" i="5"/>
  <c r="F7" i="5" s="1"/>
  <c r="J18" i="5"/>
  <c r="G7" i="5"/>
  <c r="H31" i="5" l="1"/>
  <c r="F55" i="6"/>
  <c r="I32" i="20"/>
  <c r="H31" i="7"/>
  <c r="D31" i="7"/>
  <c r="D31" i="5"/>
  <c r="J12" i="22"/>
  <c r="J12" i="20"/>
  <c r="F31" i="7"/>
  <c r="I30" i="7"/>
  <c r="F134" i="8"/>
  <c r="H9" i="9"/>
  <c r="B3" i="9" s="1"/>
  <c r="H8" i="9"/>
  <c r="J19" i="9" l="1"/>
  <c r="I19" i="9"/>
  <c r="I16" i="9"/>
  <c r="J16" i="9" s="1"/>
  <c r="F54" i="4"/>
  <c r="F4" i="4"/>
  <c r="G31" i="1" l="1"/>
  <c r="H30" i="1"/>
  <c r="G30" i="1"/>
  <c r="F30" i="1"/>
  <c r="E30" i="1"/>
  <c r="D30" i="1"/>
  <c r="I31" i="5" l="1"/>
  <c r="G32" i="5" s="1"/>
  <c r="I31" i="13"/>
  <c r="I31" i="7"/>
  <c r="G84" i="4"/>
  <c r="F68" i="4"/>
  <c r="H31" i="1"/>
  <c r="F31" i="1"/>
  <c r="I30" i="1"/>
  <c r="J26" i="1"/>
  <c r="I7" i="1" s="1"/>
  <c r="J25" i="1"/>
  <c r="H7" i="1" s="1"/>
  <c r="J24" i="1"/>
  <c r="G7" i="1" s="1"/>
  <c r="J23" i="1"/>
  <c r="F7" i="1" s="1"/>
  <c r="J18" i="1"/>
  <c r="E32" i="5" l="1"/>
  <c r="H32" i="5"/>
  <c r="A7" i="5"/>
  <c r="C22" i="5" s="1"/>
  <c r="F32" i="5"/>
  <c r="D32" i="5"/>
  <c r="E32" i="13"/>
  <c r="A7" i="13"/>
  <c r="D32" i="13"/>
  <c r="H32" i="13"/>
  <c r="G32" i="13"/>
  <c r="F32" i="13"/>
  <c r="H32" i="7"/>
  <c r="G32" i="7"/>
  <c r="F32" i="7"/>
  <c r="E32" i="7"/>
  <c r="D32" i="7"/>
  <c r="A7" i="7"/>
  <c r="D31" i="1"/>
  <c r="F69" i="4"/>
  <c r="E31" i="1"/>
  <c r="J22" i="5" l="1"/>
  <c r="E7" i="5" s="1"/>
  <c r="J7" i="5" s="1"/>
  <c r="J8" i="5" s="1"/>
  <c r="I32" i="5"/>
  <c r="J22" i="7"/>
  <c r="E7" i="7" s="1"/>
  <c r="J7" i="7" s="1"/>
  <c r="J8" i="7" s="1"/>
  <c r="J9" i="7" s="1"/>
  <c r="C22" i="7"/>
  <c r="I32" i="7"/>
  <c r="I32" i="13"/>
  <c r="J22" i="13"/>
  <c r="E7" i="13" s="1"/>
  <c r="J7" i="13" s="1"/>
  <c r="J8" i="13" s="1"/>
  <c r="C22" i="13"/>
  <c r="I31" i="1"/>
  <c r="A7" i="1" s="1"/>
  <c r="C22" i="1" s="1"/>
  <c r="J9" i="5" l="1"/>
  <c r="J11" i="5" s="1"/>
  <c r="J9" i="13"/>
  <c r="J11" i="13" s="1"/>
  <c r="J11" i="7"/>
  <c r="H32" i="1"/>
  <c r="F32" i="1"/>
  <c r="D32" i="1"/>
  <c r="G32" i="1"/>
  <c r="E32" i="1"/>
  <c r="J12" i="5" l="1"/>
  <c r="I12" i="9" s="1"/>
  <c r="J12" i="13"/>
  <c r="J12" i="7"/>
  <c r="I32" i="1"/>
  <c r="J22" i="1"/>
  <c r="E7" i="1" s="1"/>
  <c r="J7" i="1" s="1"/>
  <c r="J8" i="1" s="1"/>
  <c r="J9" i="1" s="1"/>
  <c r="I18" i="9" l="1"/>
  <c r="J18" i="9" s="1"/>
  <c r="J17" i="9"/>
  <c r="I17" i="9"/>
  <c r="J12" i="9"/>
  <c r="J11" i="1"/>
  <c r="G15" i="12" l="1"/>
  <c r="H15" i="12" s="1"/>
  <c r="J12" i="1"/>
  <c r="I15" i="9" l="1"/>
  <c r="J15" i="9" s="1"/>
  <c r="G14" i="12" s="1"/>
  <c r="H14" i="12" s="1"/>
  <c r="H29" i="12" s="1"/>
  <c r="J21" i="9"/>
  <c r="I6" i="9" s="1"/>
  <c r="H31" i="12" l="1"/>
  <c r="H32" i="12" s="1"/>
  <c r="E11" i="12" s="1"/>
  <c r="C11" i="12" l="1"/>
</calcChain>
</file>

<file path=xl/sharedStrings.xml><?xml version="1.0" encoding="utf-8"?>
<sst xmlns="http://schemas.openxmlformats.org/spreadsheetml/2006/main" count="1978" uniqueCount="1038">
  <si>
    <t>세부산출내역서</t>
    <phoneticPr fontId="24" type="noConversion"/>
  </si>
  <si>
    <t>기준일 :</t>
    <phoneticPr fontId="24" type="noConversion"/>
  </si>
  <si>
    <t>2025년  12월  일</t>
    <phoneticPr fontId="24" type="noConversion"/>
  </si>
  <si>
    <t xml:space="preserve"> </t>
    <phoneticPr fontId="24" type="noConversion"/>
  </si>
  <si>
    <t xml:space="preserve">건   명 : </t>
    <phoneticPr fontId="24" type="noConversion"/>
  </si>
  <si>
    <t>2025년 제주스마트도시 데이터허브 시범솔루션 발굴사업</t>
    <phoneticPr fontId="4" type="noConversion"/>
  </si>
  <si>
    <t>금   액 :</t>
    <phoneticPr fontId="24" type="noConversion"/>
  </si>
  <si>
    <t>번호</t>
    <phoneticPr fontId="24" type="noConversion"/>
  </si>
  <si>
    <t>항 목</t>
    <phoneticPr fontId="24" type="noConversion"/>
  </si>
  <si>
    <t>규 격</t>
    <phoneticPr fontId="24" type="noConversion"/>
  </si>
  <si>
    <t>단위</t>
    <phoneticPr fontId="24" type="noConversion"/>
  </si>
  <si>
    <t>수량</t>
    <phoneticPr fontId="24" type="noConversion"/>
  </si>
  <si>
    <t>단가</t>
    <phoneticPr fontId="24" type="noConversion"/>
  </si>
  <si>
    <t>금액(원)</t>
    <phoneticPr fontId="24" type="noConversion"/>
  </si>
  <si>
    <t>비 고</t>
    <phoneticPr fontId="24" type="noConversion"/>
  </si>
  <si>
    <t>S/W</t>
    <phoneticPr fontId="29" type="noConversion"/>
  </si>
  <si>
    <t>실증관련 데이터허브 고도화</t>
    <phoneticPr fontId="4" type="noConversion"/>
  </si>
  <si>
    <t>식</t>
    <phoneticPr fontId="24" type="noConversion"/>
  </si>
  <si>
    <t>공영주차장 스마트 안전 AI 분석 솔루션</t>
    <phoneticPr fontId="4" type="noConversion"/>
  </si>
  <si>
    <t xml:space="preserve"> </t>
    <phoneticPr fontId="4" type="noConversion"/>
  </si>
  <si>
    <t xml:space="preserve">  </t>
    <phoneticPr fontId="4" type="noConversion"/>
  </si>
  <si>
    <t>계</t>
    <phoneticPr fontId="24" type="noConversion"/>
  </si>
  <si>
    <t>부가가치세(10%)</t>
    <phoneticPr fontId="24" type="noConversion"/>
  </si>
  <si>
    <t>합   계</t>
    <phoneticPr fontId="24" type="noConversion"/>
  </si>
  <si>
    <t>견적가</t>
    <phoneticPr fontId="24" type="noConversion"/>
  </si>
  <si>
    <t xml:space="preserve"> 1. 개발기간 : 계약후 8개월</t>
    <phoneticPr fontId="24" type="noConversion"/>
  </si>
  <si>
    <t>끝.</t>
    <phoneticPr fontId="24" type="noConversion"/>
  </si>
  <si>
    <t>2025년 제주 스마트도시 데이터허브 시범솔루션 발굴사업</t>
    <phoneticPr fontId="24" type="noConversion"/>
  </si>
  <si>
    <t>목록</t>
    <phoneticPr fontId="24" type="noConversion"/>
  </si>
  <si>
    <t>내역</t>
    <phoneticPr fontId="24" type="noConversion"/>
  </si>
  <si>
    <t>금액</t>
    <phoneticPr fontId="29" type="noConversion"/>
  </si>
  <si>
    <t>비고</t>
    <phoneticPr fontId="24" type="noConversion"/>
  </si>
  <si>
    <t>H/W</t>
    <phoneticPr fontId="29" type="noConversion"/>
  </si>
  <si>
    <t>스마트시티 데이터허브 플랫폼 장비</t>
    <phoneticPr fontId="29" type="noConversion"/>
  </si>
  <si>
    <t>스마트시티 데이터허브 플랫폼 S/W</t>
    <phoneticPr fontId="29" type="noConversion"/>
  </si>
  <si>
    <t>공 급 가</t>
    <phoneticPr fontId="29" type="noConversion"/>
  </si>
  <si>
    <t>부 가 세</t>
    <phoneticPr fontId="29" type="noConversion"/>
  </si>
  <si>
    <t>총      계</t>
    <phoneticPr fontId="29" type="noConversion"/>
  </si>
  <si>
    <t>1.  2025년 제주스마트도시 데이터허브 시범솔루션 발굴사업</t>
    <phoneticPr fontId="31" type="noConversion"/>
  </si>
  <si>
    <t>(단위: 원, 부가가치세포함)</t>
    <phoneticPr fontId="24" type="noConversion"/>
  </si>
  <si>
    <t>구분</t>
    <phoneticPr fontId="24" type="noConversion"/>
  </si>
  <si>
    <t>항목</t>
    <phoneticPr fontId="24" type="noConversion"/>
  </si>
  <si>
    <t>수량</t>
    <phoneticPr fontId="31" type="noConversion"/>
  </si>
  <si>
    <t>단가</t>
    <phoneticPr fontId="29" type="noConversion"/>
  </si>
  <si>
    <t>합계</t>
    <phoneticPr fontId="24" type="noConversion"/>
  </si>
  <si>
    <t>01.데이터 수집·통합·표준화</t>
    <phoneticPr fontId="4" type="noConversion"/>
  </si>
  <si>
    <r>
      <t xml:space="preserve">OCR 처리
</t>
    </r>
    <r>
      <rPr>
        <sz val="10"/>
        <rFont val="나눔고딕"/>
        <family val="3"/>
        <charset val="129"/>
      </rPr>
      <t>- 민원 첨부 이미지·스캔 PDF를 인식하여 텍스트로 변환하고 NGSI-LD 표준 형식으로 구조화</t>
    </r>
    <phoneticPr fontId="29" type="noConversion"/>
  </si>
  <si>
    <r>
      <t xml:space="preserve">RPA 수집
</t>
    </r>
    <r>
      <rPr>
        <sz val="10"/>
        <rFont val="나눔고딕"/>
        <family val="3"/>
        <charset val="129"/>
      </rPr>
      <t>- 행정포털·민원포털·콜센터 등에서 비정형 데이터를 자동 수집·적재하는 프로세스 구축</t>
    </r>
    <phoneticPr fontId="29" type="noConversion"/>
  </si>
  <si>
    <r>
      <t xml:space="preserve">STT 처리
</t>
    </r>
    <r>
      <rPr>
        <sz val="10"/>
        <rFont val="나눔고딕"/>
        <family val="3"/>
        <charset val="129"/>
      </rPr>
      <t>- 콜센터 음성 민원을 실시간 텍스트로 전환하고 개인정보를 자동 비식별화하여 저장</t>
    </r>
    <phoneticPr fontId="29" type="noConversion"/>
  </si>
  <si>
    <t>02.데이터전처리</t>
    <phoneticPr fontId="4" type="noConversion"/>
  </si>
  <si>
    <r>
      <t xml:space="preserve">데이터 전처리
</t>
    </r>
    <r>
      <rPr>
        <sz val="10"/>
        <rFont val="나눔고딕"/>
        <family val="3"/>
        <charset val="129"/>
      </rPr>
      <t>- 데이터 수집 : 행정·민원, 통합관제센터, 외부 공공데이터 수집
- 데이터 연계 : NGSI-LD 기반 데이터 호환성 확보 및 연계 처리
- 데이터 저장 : 데이터 적재·카탈로그화 및 API 기반 검색·공유</t>
    </r>
    <phoneticPr fontId="29" type="noConversion"/>
  </si>
  <si>
    <t>03.데이터 분석</t>
    <phoneticPr fontId="4" type="noConversion"/>
  </si>
  <si>
    <r>
      <t xml:space="preserve">이벤트 데이터 분석 기능
</t>
    </r>
    <r>
      <rPr>
        <sz val="10"/>
        <rFont val="나눔고딕"/>
        <family val="3"/>
        <charset val="129"/>
      </rPr>
      <t>- 다중 센서 기반 이벤트 데이터를 NGSI-LD 표준으로 변환·정규화하여 저장·분석하는 기능 LLM 기반 자연어 처리 응용 기능</t>
    </r>
    <phoneticPr fontId="29" type="noConversion"/>
  </si>
  <si>
    <t>04.AI 기술</t>
    <phoneticPr fontId="4" type="noConversion"/>
  </si>
  <si>
    <r>
      <t xml:space="preserve">LLM 기반 자연어 처리 응용 기능
</t>
    </r>
    <r>
      <rPr>
        <sz val="10"/>
        <rFont val="나눔고딕"/>
        <family val="3"/>
        <charset val="129"/>
      </rPr>
      <t>- 민원·행정 데이터를 요약·분류·클러스터링하고 정책 보고서·민원 답변문을 자동 생성하는 LLM 기반 자연어 처리 기능</t>
    </r>
    <phoneticPr fontId="29" type="noConversion"/>
  </si>
  <si>
    <t>05.AI 기술</t>
    <phoneticPr fontId="4" type="noConversion"/>
  </si>
  <si>
    <r>
      <t xml:space="preserve">AI Assistant 기능
</t>
    </r>
    <r>
      <rPr>
        <sz val="10"/>
        <rFont val="나눔고딕"/>
        <family val="3"/>
        <charset val="129"/>
      </rPr>
      <t>- 대화형 질의응답, 다국어 응답, 정책 문서 검색·근거 제시 등 행정업무 지원을 위한 AI Assistant 기능</t>
    </r>
    <phoneticPr fontId="4" type="noConversion"/>
  </si>
  <si>
    <t>06.대시보드</t>
    <phoneticPr fontId="4" type="noConversion"/>
  </si>
  <si>
    <r>
      <t xml:space="preserve">대시보드 및 시각화
</t>
    </r>
    <r>
      <rPr>
        <sz val="10"/>
        <rFont val="나눔고딕"/>
        <family val="3"/>
        <charset val="129"/>
      </rPr>
      <t>- 데이터 수집·분석 결과, 이벤트 감시 현황, 성능·품질 지표를 시각적으로 제공하는 통합 대시보드 기능</t>
    </r>
    <phoneticPr fontId="29" type="noConversion"/>
  </si>
  <si>
    <t>표준화</t>
    <phoneticPr fontId="4" type="noConversion"/>
  </si>
  <si>
    <t>07.데이터표준화</t>
    <phoneticPr fontId="4" type="noConversion"/>
  </si>
  <si>
    <r>
      <t xml:space="preserve">데이터 표준화 모델 마련
</t>
    </r>
    <r>
      <rPr>
        <sz val="10"/>
        <rFont val="나눔고딕"/>
        <family val="3"/>
        <charset val="129"/>
      </rPr>
      <t xml:space="preserve">- 도시 데이터 수집 시 데이터 연계 표준(NGSI-LD)를 준수하고, TTA의 데이터모델 표준(TTAK.KO-10.1331-Part4/R1) 반영 </t>
    </r>
    <phoneticPr fontId="29" type="noConversion"/>
  </si>
  <si>
    <t>합계</t>
    <phoneticPr fontId="29" type="noConversion"/>
  </si>
  <si>
    <t xml:space="preserve"> 데이터 수집·통합·표준화 기능 개발 용역</t>
    <phoneticPr fontId="4" type="noConversion"/>
  </si>
  <si>
    <t xml:space="preserve">(소프트웨어사업 대가산정 가이드, 24.05.13. (FP방식-간이법),  KOSA) </t>
    <phoneticPr fontId="4" type="noConversion"/>
  </si>
  <si>
    <t>○ 개발원가 산정</t>
  </si>
  <si>
    <t>(단위 : 원)</t>
  </si>
  <si>
    <t>총기능점수</t>
  </si>
  <si>
    <t>기능점수당 단가</t>
  </si>
  <si>
    <t>보정계수</t>
  </si>
  <si>
    <t>개발원가</t>
  </si>
  <si>
    <t>비고</t>
  </si>
  <si>
    <t>규모</t>
  </si>
  <si>
    <t>연계복잡성</t>
  </si>
  <si>
    <t>성능</t>
  </si>
  <si>
    <t>다중사이트</t>
  </si>
  <si>
    <t>보안성</t>
  </si>
  <si>
    <t>합계(보정 후 개발원가)</t>
  </si>
  <si>
    <t>기업이윤</t>
  </si>
  <si>
    <t>직접경비</t>
    <phoneticPr fontId="4" type="noConversion"/>
  </si>
  <si>
    <t>소프트웨어 개발비(부가세 별도)</t>
  </si>
  <si>
    <t>소프트웨어 개발비(부가세 포함, 10만원 이하 절사)</t>
    <phoneticPr fontId="4" type="noConversion"/>
  </si>
  <si>
    <t>○ 직접경비</t>
  </si>
  <si>
    <t>구분</t>
  </si>
  <si>
    <t>산출내역</t>
  </si>
  <si>
    <t>금액</t>
  </si>
  <si>
    <t>합 계</t>
  </si>
  <si>
    <t>○ 보정계수 산정</t>
  </si>
  <si>
    <t>보정계수 구분</t>
  </si>
  <si>
    <t>복잡도 및 난이도 수준</t>
  </si>
  <si>
    <t>SW규모</t>
  </si>
  <si>
    <t>2. 1~2개의 타 기관 연계</t>
  </si>
  <si>
    <t>1. 타 기관 연계 없음</t>
  </si>
  <si>
    <t>성능 요구수준</t>
  </si>
  <si>
    <t>3. 응답시간이나 처리율이 피크타임(peak time)에 중요하며, 처리 시한이 명시되어 있다.</t>
  </si>
  <si>
    <t>다중사이트 운영성</t>
  </si>
  <si>
    <t>2. 다중사이트 운영성에 대한 요구사항이 있으며, 동일 하드웨어 및 소프트웨어 환경에서 운영되도록 설계된다.</t>
  </si>
  <si>
    <t>3. 3~5개의 타 기관 연계</t>
  </si>
  <si>
    <t>보안성 요구수준</t>
  </si>
  <si>
    <t>2. 위의 4가지 항목 중 2가지 요구사항이 포함되어 있다.</t>
  </si>
  <si>
    <t>4. 6~10개의 타 기관 연계</t>
  </si>
  <si>
    <t>5. 10개 초과의 타 기관 연계</t>
  </si>
  <si>
    <t>○ FP 집계</t>
  </si>
  <si>
    <t>1. 응답성능에 대한 특별한 요구사항이 없다.</t>
  </si>
  <si>
    <t>ILF</t>
  </si>
  <si>
    <t>EIF</t>
  </si>
  <si>
    <t>EI</t>
  </si>
  <si>
    <t>EO</t>
  </si>
  <si>
    <t>EQ</t>
  </si>
  <si>
    <t>계</t>
  </si>
  <si>
    <t>2. 응답성능에 대한 요구사항이 있으나 특별한 조치가 필요하지는 않다.</t>
  </si>
  <si>
    <t>기능수</t>
  </si>
  <si>
    <t>기능점수</t>
  </si>
  <si>
    <t>4. 응답시간이나 처리율이 모든 업무시간에 중요하며, 처리 시한이 명시되어 있다.</t>
  </si>
  <si>
    <t>비중</t>
  </si>
  <si>
    <t>5. 응답성능 요구수준이 엄격하여, 설계, 개발 또는 구현 단계에서 성능 분석도구 사용이 필요하다.</t>
  </si>
  <si>
    <t>1. 다중사이트 운영성에 대한 요구사항이 없다.</t>
  </si>
  <si>
    <t>3. 다중사이트 운영성에 대한 요구사항이 있으며, 유사 하드웨어 및 소프트웨어 환경에서 운영되도록 설계된다.</t>
  </si>
  <si>
    <t>4. 다중사이트 운영성에 대한 요구사항이 있으며, 이질적인 하드웨어 및 소프트웨어 환경에서 운영되도록 설계된다.</t>
  </si>
  <si>
    <t>5. 항목 4에 더하여 일반적 산출물 이외에 다중사이트에서 원활한 운영을 보장하기 위한 운영 절차의 문서화와 사전 모의훈련이 요구된다.</t>
  </si>
  <si>
    <t>1. 암호화, 웹취약점 점검, 시큐어코딩, 개인정보보호 중 1가지 요구사항이 포함되어 있다.</t>
  </si>
  <si>
    <t>3. 위의 4가지 항목 중 3가지 요구사항이 포함되어 있다.</t>
  </si>
  <si>
    <t>4. 위의 4가지 항목이 모두 포함되어 있다.</t>
  </si>
  <si>
    <t>5. 항목 4)에 더하여 추가적인 요구사항이 있다.</t>
  </si>
  <si>
    <t>FP산정</t>
  </si>
  <si>
    <t>FP산정</t>
    <phoneticPr fontId="4" type="noConversion"/>
  </si>
  <si>
    <t xml:space="preserve"> 데이터 수집·통합·표준화 기능점수</t>
    <phoneticPr fontId="4" type="noConversion"/>
  </si>
  <si>
    <t>기능명</t>
  </si>
  <si>
    <t>데이터 및 
트랜잭션 
기능</t>
    <phoneticPr fontId="4" type="noConversion"/>
  </si>
  <si>
    <t>FP 산출</t>
  </si>
  <si>
    <t>①어플리
케이션명</t>
    <phoneticPr fontId="4" type="noConversion"/>
  </si>
  <si>
    <t>②세부 업무명</t>
  </si>
  <si>
    <t>③단위프로세스명</t>
  </si>
  <si>
    <t>단위프로세스 설명</t>
  </si>
  <si>
    <t>④FP유형</t>
  </si>
  <si>
    <t>⑤가중치</t>
  </si>
  <si>
    <t>민원 데이터 수집</t>
  </si>
  <si>
    <t>NGSI-LD 민원 데이터 모델 정의</t>
  </si>
  <si>
    <t>민원 데이터의 엔티티/속성 표준모델 정의</t>
  </si>
  <si>
    <t>RPA/ETL 수집 플로우 개발</t>
  </si>
  <si>
    <t>포털·만덕콜센터 데이터 자동수집, OCR/STT 포함</t>
  </si>
  <si>
    <t>수집 어댑터 설정 및 등록</t>
  </si>
  <si>
    <t>포털 API·파일서버 연계 어댑터 설정</t>
  </si>
  <si>
    <t>수집 결과 조회 및 검증</t>
  </si>
  <si>
    <t>수집 성공/실패 로그, 정상 여부 확인</t>
  </si>
  <si>
    <t>센싱 이벤트 수집</t>
  </si>
  <si>
    <t>NGSI-LD 이벤트 데이터 모델 정의</t>
  </si>
  <si>
    <t>화재·온도·음향 이벤트 엔티티 정의</t>
  </si>
  <si>
    <t>실시간 이벤트 수집 플로우 개발</t>
  </si>
  <si>
    <t>Kafka/ETL 기반 센서 이벤트 정규화</t>
  </si>
  <si>
    <t>센싱 서버 어댑터 설정 및 등록</t>
  </si>
  <si>
    <t>CCTV·음원·열화상 서버 연계</t>
  </si>
  <si>
    <t>결과 검증 및 동기화</t>
  </si>
  <si>
    <t>시간/공간 동기화 및 다중센서 매칭</t>
  </si>
  <si>
    <t>충전 인프라 데이터 수집</t>
  </si>
  <si>
    <t>NGSI-LD 충전 데이터 모델 정의</t>
  </si>
  <si>
    <t>충전기·세션 엔티티 정의</t>
  </si>
  <si>
    <t>충전 운영데이터 수집 플로우 개발</t>
  </si>
  <si>
    <t>상태/세션 로그·이상코드 스트리밍</t>
  </si>
  <si>
    <t>충전기 어댑터 설정 및 등록</t>
  </si>
  <si>
    <t>운영시스템 API 연계</t>
  </si>
  <si>
    <t>수집 결과 검증 및 이상탐지</t>
  </si>
  <si>
    <t>충전 실패·장기점유 패턴 검출</t>
  </si>
  <si>
    <t>외부데이터 연계</t>
  </si>
  <si>
    <t>NGSI-LD 외부데이터 모델 정의</t>
  </si>
  <si>
    <t>기상·112·119 데이터 엔티티 정의</t>
  </si>
  <si>
    <t>API 연계 플로우 개발</t>
  </si>
  <si>
    <t>기상청·112·119 긴급구조 API 호출 및 적재</t>
  </si>
  <si>
    <t>API 어댑터 설정 및 등록</t>
  </si>
  <si>
    <t>외부 API 인증키·주기 관리</t>
  </si>
  <si>
    <t>수집 결과 검증</t>
  </si>
  <si>
    <t>API 응답 성공/실패 로그, 지연 모니터링</t>
  </si>
  <si>
    <t>통합플랫폼 연계</t>
  </si>
  <si>
    <t>NGSI-LD 통합플랫폼 모델 정의</t>
  </si>
  <si>
    <t>통합관제·허브 메타데이터 모델 정의</t>
  </si>
  <si>
    <t>플랫폼 연계 플로우 개발</t>
  </si>
  <si>
    <t>통합관제·허브 데이터 연계 수집</t>
  </si>
  <si>
    <t>플랫폼 어댑터 설정 및 등록</t>
  </si>
  <si>
    <t>관제·허브 API/메시지큐 인터페이스</t>
  </si>
  <si>
    <t>데이터 중복/지연 검증</t>
  </si>
  <si>
    <t>데이터허브연계</t>
  </si>
  <si>
    <t>데이터허브 데이터 모델 입력</t>
  </si>
  <si>
    <t>데이터 허브 데이터 연계 모델 입력 기능</t>
  </si>
  <si>
    <t>데이터허브 컨텍스트 정보 입력</t>
  </si>
  <si>
    <t>데이터 허브 컨텍스트 정보 입력 기능</t>
  </si>
  <si>
    <t>데이터허브 데이터 셋 입력</t>
  </si>
  <si>
    <t>연계 대상 데이터 허브 데이터 셋 입력 기능</t>
  </si>
  <si>
    <t>데이터허브 데이터 셋 플로우 입력</t>
  </si>
  <si>
    <t>연계 대상 데이터 허브 데이터 셋 플로우 입력 기능</t>
  </si>
  <si>
    <t>데이터허브 구독 입력</t>
  </si>
  <si>
    <t>연계 대상 데이터 허브 구독 입력 기능</t>
  </si>
  <si>
    <t>데이터허브 최종 데이터 조회</t>
  </si>
  <si>
    <t>연계 대상 데이터 허브 최종 데이터 조회 기능</t>
  </si>
  <si>
    <t>데이터허브 이력 데이터 조회</t>
  </si>
  <si>
    <t>연계 대상 데이터 허브 이력 데이터 조회 기능</t>
  </si>
  <si>
    <t>데이터 저장</t>
  </si>
  <si>
    <t>민원 텍스트 저장소</t>
  </si>
  <si>
    <t>민원 텍스트 데이터 저장</t>
  </si>
  <si>
    <t>OCR 이미지 저장소</t>
  </si>
  <si>
    <t>OCR 변환 이미지 데이터 저장</t>
  </si>
  <si>
    <t>STT 음성 저장소</t>
  </si>
  <si>
    <t>STT 전사 결과 저장</t>
  </si>
  <si>
    <t>차량등록 데이터 저장소</t>
  </si>
  <si>
    <t>차량등록 행정데이터 저장</t>
  </si>
  <si>
    <t>단속 데이터 저장소</t>
  </si>
  <si>
    <t>단속 행정데이터 저장</t>
  </si>
  <si>
    <t>GIS 데이터 저장소</t>
  </si>
  <si>
    <t>GIS 공간정보 데이터 저장</t>
  </si>
  <si>
    <t>외부데이터 저장소(기상청)</t>
  </si>
  <si>
    <t>기상청 API 데이터 저장</t>
  </si>
  <si>
    <t>외부데이터 저장소(112)</t>
  </si>
  <si>
    <t>112 연계 데이터 저장</t>
  </si>
  <si>
    <t>외부데이터 저장소(119)</t>
  </si>
  <si>
    <t>119 연계 데이터 저장</t>
  </si>
  <si>
    <t>표준 메타데이터 저장소</t>
  </si>
  <si>
    <t>NGSI-LD 표준 메타데이터 저장</t>
  </si>
  <si>
    <t>ETL 배치 적재 처리</t>
  </si>
  <si>
    <t>ETL 배치 데이터 적재</t>
  </si>
  <si>
    <t>스트리밍 적재 처리</t>
  </si>
  <si>
    <t>스트리밍 데이터 적재</t>
  </si>
  <si>
    <t>표준 변환 출력(JSON-LD)</t>
  </si>
  <si>
    <t>JSON-LD 변환 결과 출력</t>
  </si>
  <si>
    <t>카탈로그 등록 출력</t>
  </si>
  <si>
    <t>데이터 카탈로그 등록 결과 출력</t>
  </si>
  <si>
    <t>정합성 검증 출력</t>
  </si>
  <si>
    <t>데이터 정합성 검증 결과 출력</t>
  </si>
  <si>
    <t>데이터 조회 API(민원)</t>
  </si>
  <si>
    <t>민원 데이터 조회 API</t>
  </si>
  <si>
    <t>데이터 조회 API(행정)</t>
  </si>
  <si>
    <t>행정데이터 조회 API</t>
  </si>
  <si>
    <t>데이터 조회 API(외부)</t>
  </si>
  <si>
    <t>외부데이터 조회 API</t>
  </si>
  <si>
    <t>데이터 품질 리포트 조회</t>
  </si>
  <si>
    <t>정합률·오류율 통계 조회</t>
  </si>
  <si>
    <t>보안/접근 로그 조회</t>
  </si>
  <si>
    <t>데이터 접근 로그 조회</t>
  </si>
  <si>
    <t>저장소 상태 모니터링</t>
  </si>
  <si>
    <t>저장소 용량/성능 모니터링</t>
  </si>
  <si>
    <t>비식별화 검증 조회</t>
  </si>
  <si>
    <t>개인정보 비식별 처리 검증</t>
  </si>
  <si>
    <t>암호화 적용 검증 조회</t>
  </si>
  <si>
    <t>데이터 암호화 적용 검증</t>
  </si>
  <si>
    <t>* 기능점수 산정 참고</t>
  </si>
  <si>
    <t>* FP 유형 = EI (Exteranl Input : 외부입력)    EO (External Output : 외부출력)    EQ (External Inquiries : 외부조회)</t>
  </si>
  <si>
    <t xml:space="preserve">           ILF (Internal Logical Files : 내부논리파일)         EIF(Externa Interface Files : 외부연계 파일)</t>
  </si>
  <si>
    <t xml:space="preserve">* 용어설명 </t>
  </si>
  <si>
    <t>*ILF : 사용자 관점에서 식별 가능한, 논리적으로 연관된 하나의 데이터그룹 또는 제어정보로서 측정대상 애플리케이션 내부에서 유지되는 파일</t>
  </si>
  <si>
    <t>*EIF : 사용자  관점에서  식별  가능한,  사용자가 식별할  수  있는  논리적으로  연관된  하나의  데이터그룹  또는  제어정보로서</t>
  </si>
  <si>
    <t xml:space="preserve">      측정대상 애플리케이션  내부에서는  오직  참조만  되고  다른  애플리케이션에서  유지되는  파일 </t>
  </si>
  <si>
    <t>*EI :  애플리케이션 경계 밖에서 들어오는 데이터나 제어정보를 처리하는 단위 프로세스로서, 하나 이상의 논리파일을 변경하거나 시스템 동작을 변경함</t>
  </si>
  <si>
    <t>*EO : 데이터나 제어정보  애플리케이션 경계 밖의 사용자에게 보여주는단위프로세스로서, 데이터나 제어정보에 처리로직이 적용됨.</t>
  </si>
  <si>
    <t xml:space="preserve">      처리로직은 하나 이상의 수학적 계산, 공식 또는 파생 데이터를 포함하거나, 하나 이상의 내부논리파일(ILF)의 유지관리 작업이 발생하거나,</t>
  </si>
  <si>
    <t xml:space="preserve">      시스템의 동작 변경이 수반됨</t>
  </si>
  <si>
    <t>*EQ : 데이터나 제어정보를 애플리케이션 경계 밖으로 보여주는 단위프로세스로서, 데이터나 제어정보를 단순히 사용자에게 제공함.</t>
  </si>
  <si>
    <t xml:space="preserve">      외부조회는 수학적 계산이나 공식을 사용하지 않으며, 파생 데이터도 생성하지 않음.  </t>
  </si>
  <si>
    <t xml:space="preserve">       처리 과정에서 내부논리파일(ILF)의 유지관리작업이 발생하지 않으며 시스템의 동작도 변경하지 않음</t>
  </si>
  <si>
    <t>데이터 전처리 개발 용역</t>
    <phoneticPr fontId="4" type="noConversion"/>
  </si>
  <si>
    <t xml:space="preserve"> 데이터 전처리 기능점수</t>
    <phoneticPr fontId="4" type="noConversion"/>
  </si>
  <si>
    <t>OCR 처리</t>
  </si>
  <si>
    <t>OCR 템플릿/사전 저장</t>
  </si>
  <si>
    <t>문서 유형별 템플릿·사전 저장</t>
  </si>
  <si>
    <t>다국어 폰트/문자셋 라이브러리 저장</t>
  </si>
  <si>
    <t>다국어 OCR 지원용 폰트/사전 저장</t>
  </si>
  <si>
    <t>텍스트 추출 결과 출력</t>
  </si>
  <si>
    <t>스캔 PDF·이미지 → 텍스트 추출</t>
  </si>
  <si>
    <t>도면/표 추출 결과 출력</t>
  </si>
  <si>
    <t>표·도면 내 텍스트 별도 추출 결과 제공</t>
  </si>
  <si>
    <t>이미지 객체탐지 텍스트 분리 출력</t>
  </si>
  <si>
    <t>객체탐지 기반 텍스트 분리 출력</t>
  </si>
  <si>
    <t>변환 품질 검증 조회</t>
  </si>
  <si>
    <t>OCR 정확도·오류 검증 리포트</t>
  </si>
  <si>
    <t>문서별 품질 통계 조회</t>
  </si>
  <si>
    <t>문서별 성공/실패율 통계 조회</t>
  </si>
  <si>
    <t>OCR 모델 파라미터 저장</t>
  </si>
  <si>
    <t>모델 옵션/스코어링 기준 저장</t>
  </si>
  <si>
    <t>필드 추출 매핑 저장소</t>
  </si>
  <si>
    <t>문서 필드-엔티티 매핑 규칙 저장</t>
  </si>
  <si>
    <t>문서 유형 자동 분류 출력</t>
  </si>
  <si>
    <t>문서/양식 자동 분류 결과</t>
  </si>
  <si>
    <t>스캔 전처리 출력</t>
  </si>
  <si>
    <t>기울기 보정·노이즈 제거 결과</t>
  </si>
  <si>
    <t>테이블 구조 복원 출력</t>
  </si>
  <si>
    <t>셀 경계/병합 복원 결과</t>
  </si>
  <si>
    <t>레이아웃 분석 출력</t>
  </si>
  <si>
    <t>헤더/푸터/본문/주석 레이아웃 추출</t>
  </si>
  <si>
    <t>필기 인식 결과 출력</t>
  </si>
  <si>
    <t>수기/필기 OCR 결과</t>
  </si>
  <si>
    <t>서식 적합성 검증 조회</t>
  </si>
  <si>
    <t>필수 필드/형식 검증 결과</t>
  </si>
  <si>
    <t>실패 재처리 큐 조회</t>
  </si>
  <si>
    <t>실패 문서 재처리 대기/상태 조회</t>
  </si>
  <si>
    <t>라벨링 툴 인터페이스 출력</t>
  </si>
  <si>
    <t>라벨링 도구로 내보내기/불러오기</t>
  </si>
  <si>
    <t>학습 데이터셋 저장소</t>
  </si>
  <si>
    <t>OCR 학습/평가 데이터셋 메타 저장</t>
  </si>
  <si>
    <t>멀티엔진 앙상블 결과 출력</t>
  </si>
  <si>
    <t>엔진별 결과 통합/투표 출력</t>
  </si>
  <si>
    <t>품질 개선 피드백 저장</t>
  </si>
  <si>
    <t>검수 피드백/수정 이력 저장</t>
  </si>
  <si>
    <t>RPA 수집</t>
  </si>
  <si>
    <t>수집 시나리오 정의 저장</t>
  </si>
  <si>
    <t>포털·콜센터 RPA 시나리오 저장</t>
  </si>
  <si>
    <t>계정/세션 관리 정책 저장</t>
  </si>
  <si>
    <t>로그인 계정/세션 정책 저장</t>
  </si>
  <si>
    <t>수집 플로우 실행</t>
  </si>
  <si>
    <t>포털 자동 로그인·데이터 다운로드</t>
  </si>
  <si>
    <t>스케줄링/트리거 실행</t>
  </si>
  <si>
    <t>예약 실행·조건부 트리거</t>
  </si>
  <si>
    <t>재시도 실행</t>
  </si>
  <si>
    <t>장애 발생 시 자동 재시도</t>
  </si>
  <si>
    <t>실행 로그 검증</t>
  </si>
  <si>
    <t>성공/실패 로그 검증</t>
  </si>
  <si>
    <t>프로세스별 리포트 조회</t>
  </si>
  <si>
    <t>수집별 성공률/실패율 통계</t>
  </si>
  <si>
    <t>크리덴셜 금고 저장</t>
  </si>
  <si>
    <t>자격증명/키 보관·로테이션 정책</t>
  </si>
  <si>
    <t>스케줄/트리거 정책 저장</t>
  </si>
  <si>
    <t>캘린더·예외일·재발 스케줄 정책</t>
  </si>
  <si>
    <t>예외 패턴 룰 저장</t>
  </si>
  <si>
    <t>에러코드/화면변경 룰셋</t>
  </si>
  <si>
    <t>Captcha/OTP 처리</t>
  </si>
  <si>
    <t>2단계 인증 자동처리</t>
  </si>
  <si>
    <t>파일 업/다운로드 처리</t>
  </si>
  <si>
    <t>대용량 파일 전송/검증</t>
  </si>
  <si>
    <t>API+RPA 하이브리드 처리</t>
  </si>
  <si>
    <t>API/스크린 스크래핑 혼합</t>
  </si>
  <si>
    <t>RPA 실행 대시보드 조회</t>
  </si>
  <si>
    <t>로봇별 상태/성능/에이전트 가시화</t>
  </si>
  <si>
    <t>재시도/롤백 리포트 조회</t>
  </si>
  <si>
    <t>재시도/보상거래·롤백 결과</t>
  </si>
  <si>
    <t>UI 변화 탐지 리포트 조회</t>
  </si>
  <si>
    <t>DOM/레이아웃 변화 탐지 요약</t>
  </si>
  <si>
    <t>봇 런타임 로그 저장</t>
  </si>
  <si>
    <t>에이전트별 표준 로그 저장</t>
  </si>
  <si>
    <t>작업 큐/우선순위 저장</t>
  </si>
  <si>
    <t>큐/우선순위/할당 정책 저장</t>
  </si>
  <si>
    <t>API 토큰 로테이션 처리</t>
  </si>
  <si>
    <t>만료 전 갱신·교체 자동화</t>
  </si>
  <si>
    <t>프록시/헤더 변조 처리</t>
  </si>
  <si>
    <t>우회·헤더 관리 자동화</t>
  </si>
  <si>
    <t>STT 처리</t>
  </si>
  <si>
    <t>도메인 사전/모델 저장</t>
  </si>
  <si>
    <t>사투리·생활언어·도메인 모델 저장</t>
  </si>
  <si>
    <t>사용자 커스텀 사전 저장</t>
  </si>
  <si>
    <t>사용자 정의 용어사전 저장</t>
  </si>
  <si>
    <t>녹취 텍스트 변환 출력</t>
  </si>
  <si>
    <t>콜센터 음성 → 텍스트 변환</t>
  </si>
  <si>
    <t>발화자 분리 결과 출력</t>
  </si>
  <si>
    <t>화자 분리(Diarization) 결과</t>
  </si>
  <si>
    <t>개인정보 마스킹 출력</t>
  </si>
  <si>
    <t>전화번호·이름 마스킹</t>
  </si>
  <si>
    <t>WER 성능 리포트 조회</t>
  </si>
  <si>
    <t>WER 기반 성능 지표</t>
  </si>
  <si>
    <t>발화자별 성능 리포트 조회</t>
  </si>
  <si>
    <t>화자별 정확도/시간 분석</t>
  </si>
  <si>
    <t>언어/사투리 패킷 저장</t>
  </si>
  <si>
    <t>방언/발음 변이 패킷 저장</t>
  </si>
  <si>
    <t>커스텀 음향모델 설정 저장</t>
  </si>
  <si>
    <t>노이즈/마이크 특성 보정 설정</t>
  </si>
  <si>
    <t>실시간 스트리밍 변환 출력</t>
  </si>
  <si>
    <t>스트리밍 음성 실시간 변환</t>
  </si>
  <si>
    <t>배치 대량 변환 출력</t>
  </si>
  <si>
    <t>대량 파일 일괄 변환</t>
  </si>
  <si>
    <t>문장부호/대소문자 복원 출력</t>
  </si>
  <si>
    <t>구두점/케이싱 복원</t>
  </si>
  <si>
    <t>키워드 스포팅 출력</t>
  </si>
  <si>
    <t>긴급/금칙 키워드 탐지</t>
  </si>
  <si>
    <t>VAD 세그먼테이션 출력</t>
  </si>
  <si>
    <t>음성구간 자동 분할</t>
  </si>
  <si>
    <t>품질 대시보드 조회</t>
  </si>
  <si>
    <t>정확도·지연·오류 추세</t>
  </si>
  <si>
    <t>조건별 정확도 조회</t>
  </si>
  <si>
    <t>방언/잡음/기기별 정확도</t>
  </si>
  <si>
    <t>화자 프로파일 저장</t>
  </si>
  <si>
    <t>화자 등록/프로파일 메타 저장</t>
  </si>
  <si>
    <t>발화 유형/의도 사전 저장</t>
  </si>
  <si>
    <t>의도/발화 타입 사전</t>
  </si>
  <si>
    <t>잡음 제거/향상 출력</t>
  </si>
  <si>
    <t>노이즈 억제/음향 향상</t>
  </si>
  <si>
    <t>타임스탬프 정교화 출력</t>
  </si>
  <si>
    <t>워드/문장 정밀 타임스탬프</t>
  </si>
  <si>
    <t>장문 분할·병합 출력</t>
  </si>
  <si>
    <t>긴 통화 자동 분할/병합</t>
  </si>
  <si>
    <t>STT 오류 유형 리포트 조회</t>
  </si>
  <si>
    <t>에러 유형/원인 통계</t>
  </si>
  <si>
    <t>실시간 긴급어 탐지 알림 출력</t>
  </si>
  <si>
    <t>폭발/신고 등 긴급 키워드 알림</t>
  </si>
  <si>
    <t>언어 모델 버전 저장</t>
  </si>
  <si>
    <t>LM 버전/릴리즈 메타 저장</t>
  </si>
  <si>
    <t>이벤트 데이터 분석 개발 용역</t>
    <phoneticPr fontId="4" type="noConversion"/>
  </si>
  <si>
    <t>이벤트 데이터 분석 기능점수</t>
    <phoneticPr fontId="4" type="noConversion"/>
  </si>
  <si>
    <t>이벤트 데이터 분석</t>
    <phoneticPr fontId="4" type="noConversion"/>
  </si>
  <si>
    <t>화재 이벤트 정의 저장소</t>
  </si>
  <si>
    <t>불꽃·연기 이벤트 유형 정의 저장</t>
  </si>
  <si>
    <t>온도 이벤트 정의 저장소</t>
  </si>
  <si>
    <t>온도 이상 감시 규칙 저장</t>
  </si>
  <si>
    <t>음향 이벤트 정의 저장소</t>
  </si>
  <si>
    <t>폭발·비명·차량파손 이벤트 정의 저장</t>
  </si>
  <si>
    <t>경보 단계 정책 저장소</t>
  </si>
  <si>
    <t>주의/경계/심각 단계 정책 저장</t>
  </si>
  <si>
    <t>알림 채널 정책 저장소</t>
  </si>
  <si>
    <t>앱/SMS/이메일/웹훅 채널 정책 저장</t>
  </si>
  <si>
    <t>센서/카메라 메타데이터 저장소</t>
  </si>
  <si>
    <t>설치 위치·사양 저장</t>
  </si>
  <si>
    <t>실시간 화재 이벤트 수집</t>
  </si>
  <si>
    <t>화재(불꽃·연기) 스트림 실시간 수집</t>
  </si>
  <si>
    <t>실시간 온도 이벤트 수집</t>
  </si>
  <si>
    <t>온도 센싱 이벤트 수집</t>
  </si>
  <si>
    <t>실시간 음향 이벤트 수집</t>
  </si>
  <si>
    <t>음향 스트림 수집</t>
  </si>
  <si>
    <t>이벤트 탐지 결과 출력(화재)</t>
  </si>
  <si>
    <t>화재 탐지 결과 출력</t>
  </si>
  <si>
    <t>이벤트 탐지 결과 출력(온도)</t>
  </si>
  <si>
    <t>온도 이상 탐지 결과 출력</t>
  </si>
  <si>
    <t>이벤트 탐지 결과 출력(음향)</t>
  </si>
  <si>
    <t>폭발음·비명 등 탐지 결과 출력</t>
  </si>
  <si>
    <t>알림 출력(앱)</t>
  </si>
  <si>
    <t>앱 푸시 알림 출력</t>
  </si>
  <si>
    <t>알림 출력(SMS)</t>
  </si>
  <si>
    <t>SMS 알림 출력</t>
  </si>
  <si>
    <t>알림 출력(이메일)</t>
  </si>
  <si>
    <t>이메일 알림 출력</t>
  </si>
  <si>
    <t>알림 출력(웹훅)</t>
  </si>
  <si>
    <t>외부시스템 웹훅 알림 출력</t>
  </si>
  <si>
    <t>다단계 경보 출력</t>
  </si>
  <si>
    <t>주의→경계→심각 경보 출력</t>
  </si>
  <si>
    <t>대응 워크플로우 실행</t>
  </si>
  <si>
    <t>관제센터 대응 시나리오 실행</t>
  </si>
  <si>
    <t>이벤트 로그 조회</t>
  </si>
  <si>
    <t>이벤트 로그 검색/조회</t>
  </si>
  <si>
    <t>정확도 검증 리포트</t>
  </si>
  <si>
    <t>탐지 Precision/Recall 검증</t>
  </si>
  <si>
    <t>오탐/누락 분석 조회</t>
  </si>
  <si>
    <t>오탐/누락 사례 검증 조회</t>
  </si>
  <si>
    <t>탐지율·지연·신뢰도 대시보드</t>
  </si>
  <si>
    <t>LLM 기반 자연어 처리 응용 기능 개발 용역</t>
    <phoneticPr fontId="4" type="noConversion"/>
  </si>
  <si>
    <t>LLM 기반 자연어 처리 응용 기능점수</t>
    <phoneticPr fontId="4" type="noConversion"/>
  </si>
  <si>
    <t>LLM 생성</t>
  </si>
  <si>
    <t>프롬프트 템플릿 저장소</t>
  </si>
  <si>
    <t>도메인/업무별 템플릿, 버전, 승인상태 저장</t>
  </si>
  <si>
    <t>응답 스키마 레지스트리</t>
  </si>
  <si>
    <t>JSON 스키마/필수 필드/검증 규칙 저장</t>
  </si>
  <si>
    <t>가이드·컴플라이언스 규칙 저장</t>
  </si>
  <si>
    <t>기관 규정, 금칙어/허용어, 검증 규칙 저장</t>
  </si>
  <si>
    <t>톤/스타일 설정 저장</t>
  </si>
  <si>
    <t>시민친화/전문가/두괄식/간결체 등 스타일 설정 저장</t>
  </si>
  <si>
    <t>A/B 실험/롤백 설정 저장</t>
  </si>
  <si>
    <t>실험군/대조군, 릴리즈/롤백 메타 저장</t>
  </si>
  <si>
    <t>민원답변문 생성(표준)</t>
  </si>
  <si>
    <t>민원답변문 표준 스타일 자동 생성</t>
  </si>
  <si>
    <t>민원답변문 생성(시민친화)</t>
  </si>
  <si>
    <t>민원답변문 시민친화 스타일 자동 생성</t>
  </si>
  <si>
    <t>민원답변문 생성(전문가톤)</t>
  </si>
  <si>
    <t>민원답변문 전문가톤 스타일 자동 생성</t>
  </si>
  <si>
    <t>민원답변문 생성(두괄식)</t>
  </si>
  <si>
    <t>민원답변문 두괄식 스타일 자동 생성</t>
  </si>
  <si>
    <t>민원답변문 생성(양식화)</t>
  </si>
  <si>
    <t>민원답변문 양식화 스타일 자동 생성</t>
  </si>
  <si>
    <t>정책보고문 생성(표준)</t>
  </si>
  <si>
    <t>정책보고문 표준 스타일 자동 생성</t>
  </si>
  <si>
    <t>정책보고문 생성(시민친화)</t>
  </si>
  <si>
    <t>정책보고문 시민친화 스타일 자동 생성</t>
  </si>
  <si>
    <t>정책보고문 생성(전문가톤)</t>
  </si>
  <si>
    <t>정책보고문 전문가톤 스타일 자동 생성</t>
  </si>
  <si>
    <t>정책보고문 생성(두괄식)</t>
  </si>
  <si>
    <t>정책보고문 두괄식 스타일 자동 생성</t>
  </si>
  <si>
    <t>정책보고문 생성(양식화)</t>
  </si>
  <si>
    <t>정책보고문 양식화 스타일 자동 생성</t>
  </si>
  <si>
    <t>공문 생성(표준)</t>
  </si>
  <si>
    <t>공문 표준 스타일 자동 생성</t>
  </si>
  <si>
    <t>공문 생성(시민친화)</t>
  </si>
  <si>
    <t>공문 시민친화 스타일 자동 생성</t>
  </si>
  <si>
    <t>공문 생성(전문가톤)</t>
  </si>
  <si>
    <t>공문 전문가톤 스타일 자동 생성</t>
  </si>
  <si>
    <t>공문 생성(두괄식)</t>
  </si>
  <si>
    <t>공문 두괄식 스타일 자동 생성</t>
  </si>
  <si>
    <t>공문 생성(양식화)</t>
  </si>
  <si>
    <t>공문 양식화 스타일 자동 생성</t>
  </si>
  <si>
    <t>회의록 초안 생성(표준)</t>
  </si>
  <si>
    <t>회의록 초안 표준 스타일 자동 생성</t>
  </si>
  <si>
    <t>회의록 초안 생성(시민친화)</t>
  </si>
  <si>
    <t>회의록 초안 시민친화 스타일 자동 생성</t>
  </si>
  <si>
    <t>회의록 초안 생성(전문가톤)</t>
  </si>
  <si>
    <t>회의록 초안 전문가톤 스타일 자동 생성</t>
  </si>
  <si>
    <t>회의록 초안 생성(두괄식)</t>
  </si>
  <si>
    <t>회의록 초안 두괄식 스타일 자동 생성</t>
  </si>
  <si>
    <t>회의록 초안 생성(양식화)</t>
  </si>
  <si>
    <t>회의록 초안 양식화 스타일 자동 생성</t>
  </si>
  <si>
    <t>분석리포트 초안 생성(표준)</t>
  </si>
  <si>
    <t>분석리포트 초안 표준 스타일 자동 생성</t>
  </si>
  <si>
    <t>분석리포트 초안 생성(시민친화)</t>
  </si>
  <si>
    <t>분석리포트 초안 시민친화 스타일 자동 생성</t>
  </si>
  <si>
    <t>분석리포트 초안 생성(전문가톤)</t>
  </si>
  <si>
    <t>분석리포트 초안 전문가톤 스타일 자동 생성</t>
  </si>
  <si>
    <t>분석리포트 초안 생성(두괄식)</t>
  </si>
  <si>
    <t>분석리포트 초안 두괄식 스타일 자동 생성</t>
  </si>
  <si>
    <t>분석리포트 초안 생성(양식화)</t>
  </si>
  <si>
    <t>분석리포트 초안 양식화 스타일 자동 생성</t>
  </si>
  <si>
    <t>응답 후처리(PII 마스킹)</t>
  </si>
  <si>
    <t>전화번호·이름 등 민감정보 자동 마스킹</t>
  </si>
  <si>
    <t>응답 후처리(안전성 필터)</t>
  </si>
  <si>
    <t>유해/민감 표현 필터링</t>
  </si>
  <si>
    <t>응답 구조화(JSON)</t>
  </si>
  <si>
    <t>스키마 규칙에 맞춘 JSON 결과</t>
  </si>
  <si>
    <t>응답 다국어 변환/보정</t>
  </si>
  <si>
    <t>한-영/영-한 변환 및 보정</t>
  </si>
  <si>
    <t>가이드라인 적합성 검증</t>
  </si>
  <si>
    <t>기관 가이드라인 준수 확인</t>
  </si>
  <si>
    <t>생성 품질 리포트 조회</t>
  </si>
  <si>
    <t>정확성/일관성/길이제약 준수 평가 리포트</t>
  </si>
  <si>
    <t>A/B 실험 결과 조회</t>
  </si>
  <si>
    <t>실험군/대조군 지표 비교</t>
  </si>
  <si>
    <t>가이드 위반 사례 조회</t>
  </si>
  <si>
    <t>위반 응답 탐지 목록/빈도 조회</t>
  </si>
  <si>
    <t>LLM 요약</t>
  </si>
  <si>
    <t>요약 정책/템플릿 저장</t>
  </si>
  <si>
    <t>문단/문서/다문서 요약 정책·템플릿 저장</t>
  </si>
  <si>
    <t>요약 결과 저장소</t>
  </si>
  <si>
    <t>원문-요약문 매핑/버전 저장</t>
  </si>
  <si>
    <t>문단 요약(추상적)</t>
  </si>
  <si>
    <t>문단 단위 추상적 요약 처리</t>
  </si>
  <si>
    <t>문서 요약(추상적)</t>
  </si>
  <si>
    <t>문서 단위 추상적 요약 처리</t>
  </si>
  <si>
    <t>다문서 요약(추상적)</t>
  </si>
  <si>
    <t>다문서 단위 추상적 요약 처리</t>
  </si>
  <si>
    <t>타임라인 요약(추상적)</t>
  </si>
  <si>
    <t>타임라인 단위 추상적 요약 처리</t>
  </si>
  <si>
    <t>주제별 요약(추상적)</t>
  </si>
  <si>
    <t>주제별 단위 추상적 요약 처리</t>
  </si>
  <si>
    <t>부서별 요약(추상적)</t>
  </si>
  <si>
    <t>부서별 단위 추상적 요약 처리</t>
  </si>
  <si>
    <t>시민용 요약(추상적)</t>
  </si>
  <si>
    <t>시민용 단위 추상적 요약 처리</t>
  </si>
  <si>
    <t>문단 요약(추출적)</t>
  </si>
  <si>
    <t>문단 단위 추출적 요약 처리</t>
  </si>
  <si>
    <t>문서 요약(추출적)</t>
  </si>
  <si>
    <t>문서 단위 추출적 요약 처리</t>
  </si>
  <si>
    <t>다문서 요약(추출적)</t>
  </si>
  <si>
    <t>다문서 단위 추출적 요약 처리</t>
  </si>
  <si>
    <t>타임라인 요약(추출적)</t>
  </si>
  <si>
    <t>타임라인 단위 추출적 요약 처리</t>
  </si>
  <si>
    <t>주제별 요약(추출적)</t>
  </si>
  <si>
    <t>주제별 단위 추출적 요약 처리</t>
  </si>
  <si>
    <t>부서별 요약(추출적)</t>
  </si>
  <si>
    <t>부서별 단위 추출적 요약 처리</t>
  </si>
  <si>
    <t>시민용 요약(추출적)</t>
  </si>
  <si>
    <t>시민용 단위 추출적 요약 처리</t>
  </si>
  <si>
    <t>실시간 대량 요약</t>
  </si>
  <si>
    <t>스트림 유입 문서 실시간 요약</t>
  </si>
  <si>
    <t>배치 대량 요약</t>
  </si>
  <si>
    <t>스케줄 기반 일괄 요약</t>
  </si>
  <si>
    <t>요약 품질 진단(ROUGE)</t>
  </si>
  <si>
    <t>ROUGE 기반 품질 리포트</t>
  </si>
  <si>
    <t>요약 품질 진단(BLEU)</t>
  </si>
  <si>
    <t>BLEU 기반 품질 리포트</t>
  </si>
  <si>
    <t>요약 편향/누락 진단</t>
  </si>
  <si>
    <t>편향·중요정보 누락 탐지</t>
  </si>
  <si>
    <t>LLM 리라이팅</t>
  </si>
  <si>
    <t>스타일 가이드 저장(기관별)</t>
  </si>
  <si>
    <t>기관 표준문체/용어 규정 저장</t>
  </si>
  <si>
    <t>스타일 가이드 저장(부서별)</t>
  </si>
  <si>
    <t>부서별 특화 규칙 저장</t>
  </si>
  <si>
    <t>용어/동의어 사전 저장</t>
  </si>
  <si>
    <t>표준용어/금칙어/동의어 관리</t>
  </si>
  <si>
    <t>문체 변경</t>
  </si>
  <si>
    <t>경어/간결체/설명체 등 문체 전환</t>
  </si>
  <si>
    <t>용어 정규화</t>
  </si>
  <si>
    <t>표준 용어로 자동 치환</t>
  </si>
  <si>
    <t>다국어 번역 보정</t>
  </si>
  <si>
    <t>번역 후 어색한 표현 보정</t>
  </si>
  <si>
    <t>가독성 향상</t>
  </si>
  <si>
    <t>문장 길이/구조 최적화</t>
  </si>
  <si>
    <t>독해등급 조정</t>
  </si>
  <si>
    <t>읽기 수준(예: B2/C1) 맞춤</t>
  </si>
  <si>
    <t>포맷 적합화</t>
  </si>
  <si>
    <t>기관 양식/목차 규격 맞춤</t>
  </si>
  <si>
    <t>버전별 수정 비교 조회</t>
  </si>
  <si>
    <t>원문-수정문 Diff/하이라이트</t>
  </si>
  <si>
    <t>가독성/길이 제한 준수 조회</t>
  </si>
  <si>
    <t>가독지수/글자수 검증</t>
  </si>
  <si>
    <t>LLM 검색</t>
  </si>
  <si>
    <t>민원데이터 벡터 인덱스 저장</t>
  </si>
  <si>
    <t>민원 텍스트 임베딩 인덱스</t>
  </si>
  <si>
    <t>행정문서 벡터 인덱스 저장</t>
  </si>
  <si>
    <t>행정문서 임베딩 인덱스</t>
  </si>
  <si>
    <t>법규/조례 벡터 인덱스 저장</t>
  </si>
  <si>
    <t>법규·조례 임베딩 인덱스</t>
  </si>
  <si>
    <t>요약/키프레이즈 인덱스 저장</t>
  </si>
  <si>
    <t>요약문/키프레이즈 보조 인덱스</t>
  </si>
  <si>
    <t>교차언어 인덱스 저장</t>
  </si>
  <si>
    <t>한영 교차검색 인덱스</t>
  </si>
  <si>
    <t>인용/출처 맵 저장</t>
  </si>
  <si>
    <t>청크-출처-문서 링크 매핑</t>
  </si>
  <si>
    <t>중복/유사 문서 맵 저장</t>
  </si>
  <si>
    <t>문서 중복/유사 매핑 저장</t>
  </si>
  <si>
    <t>키워드 검색 처리</t>
  </si>
  <si>
    <t>BM25 등 키워드 기반 검색</t>
  </si>
  <si>
    <t>의미기반 검색 처리</t>
  </si>
  <si>
    <t>임베딩 유사도 검색</t>
  </si>
  <si>
    <t>하이브리드 검색 처리</t>
  </si>
  <si>
    <t>키워드+의미 결합 검색</t>
  </si>
  <si>
    <t>확장질의 검색 처리</t>
  </si>
  <si>
    <t>질의 확장(동의어/하이픈 등)</t>
  </si>
  <si>
    <t>시간/분야 필터 검색</t>
  </si>
  <si>
    <t>기간/도메인 필터링 검색</t>
  </si>
  <si>
    <t>엔티티 필터 검색</t>
  </si>
  <si>
    <t>기관/지명/차량 등 엔티티 필터</t>
  </si>
  <si>
    <t>재순위화(리랭킹) 처리</t>
  </si>
  <si>
    <t>Cross-Encoder 리랭킹</t>
  </si>
  <si>
    <t>Top-k 증분확장</t>
  </si>
  <si>
    <t>증분적으로 k 확장 탐색</t>
  </si>
  <si>
    <t>커버리지/Hit@k 조회</t>
  </si>
  <si>
    <t>검색 커버리지/Hit@k 측정</t>
  </si>
  <si>
    <t>MRR/nDCG 조회</t>
  </si>
  <si>
    <t>랭킹 지표 진단</t>
  </si>
  <si>
    <t>출처 신선도/유효성 조회</t>
  </si>
  <si>
    <t>개정일/링크 유효성 점검</t>
  </si>
  <si>
    <t>깨진 링크/미대응 조회</t>
  </si>
  <si>
    <t>404/403/타임아웃 탐지</t>
  </si>
  <si>
    <t>LLM 질의응답</t>
  </si>
  <si>
    <t>Q&amp;A 세션 저장소</t>
  </si>
  <si>
    <t>대화 히스토리/컨텍스트 저장</t>
  </si>
  <si>
    <t>질문 유형/의도 사전 저장</t>
  </si>
  <si>
    <t>FAQ 의도/슬롯 정의 저장</t>
  </si>
  <si>
    <t>민원 Q&amp;A(불법주차)</t>
  </si>
  <si>
    <t>불법주차 민원 응답 생성</t>
  </si>
  <si>
    <t>민원 Q&amp;A(충전구역)</t>
  </si>
  <si>
    <t>충전구역 민원 응답 생성</t>
  </si>
  <si>
    <t>민원 Q&amp;A(보행안전)</t>
  </si>
  <si>
    <t>보행안전 민원 응답 생성</t>
  </si>
  <si>
    <t>민원 Q&amp;A(화재안전)</t>
  </si>
  <si>
    <t>화재안전 민원 응답 생성</t>
  </si>
  <si>
    <t>정책 Q&amp;A(조례)</t>
  </si>
  <si>
    <t>조례 근거 제시형 Q&amp;A</t>
  </si>
  <si>
    <t>정책 Q&amp;A(행정규칙)</t>
  </si>
  <si>
    <t>행정규칙 근거 제시형 Q&amp;A</t>
  </si>
  <si>
    <t>지식기반 Q&amp;A</t>
  </si>
  <si>
    <t>RAG 근거 제시형 Q&amp;A</t>
  </si>
  <si>
    <t>모호질문 Clarify</t>
  </si>
  <si>
    <t>추가질문 생성·명료화</t>
  </si>
  <si>
    <t>도구호출 보조응답</t>
  </si>
  <si>
    <t>툴콜 결과 반영 응답</t>
  </si>
  <si>
    <t>휴먼핸드오프 트리거</t>
  </si>
  <si>
    <t>사람 검수로 전환</t>
  </si>
  <si>
    <t>근거 일치/신뢰도 점수 조회</t>
  </si>
  <si>
    <t>출처-응답 일치/신뢰도</t>
  </si>
  <si>
    <t>할루시네이션 탐지 조회</t>
  </si>
  <si>
    <t>근거 불일치/추론 오류 탐지</t>
  </si>
  <si>
    <t>세션 요약/품질 조회</t>
  </si>
  <si>
    <t>세션별 품질/만족도 요약</t>
  </si>
  <si>
    <t>LLM 클러스터링</t>
  </si>
  <si>
    <t>클러스터 레이블 사전 저장</t>
  </si>
  <si>
    <t>군집 레이블/설명어 사전</t>
  </si>
  <si>
    <t>클러스터 센트로이드/프로토타입 저장</t>
  </si>
  <si>
    <t>군집 대표 벡터/문장 저장</t>
  </si>
  <si>
    <t>민원 주제 군집 탐지</t>
  </si>
  <si>
    <t>주제별 군집 갱신</t>
  </si>
  <si>
    <t>불법주차 패턴 군집 탐지</t>
  </si>
  <si>
    <t>불법주차 클러스터 갱신</t>
  </si>
  <si>
    <t>안전사고 패턴 군집 탐지</t>
  </si>
  <si>
    <t>안전사고 클러스터 갱신</t>
  </si>
  <si>
    <t>이벤트 탐지/변화점 감지</t>
  </si>
  <si>
    <t>급증 주제·이상 변화 감지</t>
  </si>
  <si>
    <t>군집 병합/분할 처리</t>
  </si>
  <si>
    <t>유사 군집 병합, 과대 군집 분할</t>
  </si>
  <si>
    <t>군집 요약/설명 생성</t>
  </si>
  <si>
    <t>군집 설명/키워드/대표문장 생성</t>
  </si>
  <si>
    <t>실루엣/DBI 지표 조회</t>
  </si>
  <si>
    <t>Silhouette/Davies-Bouldin</t>
  </si>
  <si>
    <t>Purity/ARI 지표 조회</t>
  </si>
  <si>
    <t>정확도/Adjusted Rand Index</t>
  </si>
  <si>
    <t>군집 안정성/드리프트 조회</t>
  </si>
  <si>
    <t>시간대별 안정성/개념드리프트</t>
  </si>
  <si>
    <t>LLM 분류</t>
  </si>
  <si>
    <t>라벨 체계/계층 저장</t>
  </si>
  <si>
    <t>카테고리/하위카테고리/코드</t>
  </si>
  <si>
    <t>임계치/캘리브레이션 저장</t>
  </si>
  <si>
    <t>클래스별 임계치/온도 scaling</t>
  </si>
  <si>
    <t>모델카드/추적 메타 저장</t>
  </si>
  <si>
    <t>버전/학습데이터/핑거프린트</t>
  </si>
  <si>
    <t>단일라벨 분류 처리</t>
  </si>
  <si>
    <t>단일 클래스 분류</t>
  </si>
  <si>
    <t>멀티라벨 분류 처리</t>
  </si>
  <si>
    <t>복수 클래스 분류</t>
  </si>
  <si>
    <t>계층적 분류 처리</t>
  </si>
  <si>
    <t>상→하위 계층 분류</t>
  </si>
  <si>
    <t>규칙+ML 앙상블 분류</t>
  </si>
  <si>
    <t>룰/모델 앙상블</t>
  </si>
  <si>
    <t>설명가능 분류 결과 출력</t>
  </si>
  <si>
    <t>근거/특징 중요도 설명</t>
  </si>
  <si>
    <t>임계치 튜닝/검증 처리</t>
  </si>
  <si>
    <t>베이지안/그리드 서치</t>
  </si>
  <si>
    <t>드리프트 감지 처리</t>
  </si>
  <si>
    <t>분포·성능 드리프트 탐지</t>
  </si>
  <si>
    <t>클래스별 정밀/재현/F1 조회</t>
  </si>
  <si>
    <t>Precision/Recall/F1</t>
  </si>
  <si>
    <t>혼동행렬/ROC 조회</t>
  </si>
  <si>
    <t>Confusion/ROC-AUC</t>
  </si>
  <si>
    <t>캘리브레이션/과신 탐지 조회</t>
  </si>
  <si>
    <t>ECE/과신 지표</t>
  </si>
  <si>
    <t>분류 편향/공정성 조회</t>
  </si>
  <si>
    <t>집단·속성별 편향 진단</t>
  </si>
  <si>
    <t>AI Assistant 기능 개발 용역</t>
    <phoneticPr fontId="4" type="noConversion"/>
  </si>
  <si>
    <t xml:space="preserve"> AI Assistant 기능점수</t>
    <phoneticPr fontId="4" type="noConversion"/>
  </si>
  <si>
    <t>다국어 대응</t>
  </si>
  <si>
    <t>다국어 FAQ 저장소</t>
  </si>
  <si>
    <t>FAQ 원문/번역 매핑 저장</t>
  </si>
  <si>
    <t>질의 번역 처리</t>
  </si>
  <si>
    <t>한국어↔영/중 질의 번역</t>
  </si>
  <si>
    <t>응답 번역 처리</t>
  </si>
  <si>
    <t>응답 다국어 변환</t>
  </si>
  <si>
    <t>번역 품질 검증 조회</t>
  </si>
  <si>
    <t>BLEU/TER 기반 번역 검증</t>
  </si>
  <si>
    <t>지식 관리</t>
  </si>
  <si>
    <t>정책문서 인덱스 저장</t>
  </si>
  <si>
    <t>정책·조례·규정 벡터 인덱스 저장</t>
  </si>
  <si>
    <t>RAG 검색 처리</t>
  </si>
  <si>
    <t>질의→문서 검색 결과 반환</t>
  </si>
  <si>
    <t>근거 문서 하이라이팅 출력</t>
  </si>
  <si>
    <t>원문 근거 구절/하이라이트 표시</t>
  </si>
  <si>
    <t>정책 메모 자동 작성</t>
  </si>
  <si>
    <t>정책 보고용 요약/메모 생성</t>
  </si>
  <si>
    <t>검색 정확도 검증 조회</t>
  </si>
  <si>
    <t>검색 성능 통계/리포트 조회</t>
  </si>
  <si>
    <t>대화 관리</t>
  </si>
  <si>
    <t>세션/컨텍스트 저장</t>
  </si>
  <si>
    <t>대화 이력·컨텍스트 저장</t>
  </si>
  <si>
    <t>반복 민원 응답 이력 조회</t>
  </si>
  <si>
    <t>과거 응답 매칭 조회</t>
  </si>
  <si>
    <t>관리자 승인 워크플로우 처리</t>
  </si>
  <si>
    <t>응답 생성→관리자 승인</t>
  </si>
  <si>
    <t>응답 고도화</t>
  </si>
  <si>
    <t>추천 응답(민원) 생성</t>
  </si>
  <si>
    <t>민원 대응용 응답 자동생성</t>
  </si>
  <si>
    <t>추천 응답(정책) 생성</t>
  </si>
  <si>
    <t>정책 보고용 응답 자동생성</t>
  </si>
  <si>
    <t>추천 응답(공문) 생성</t>
  </si>
  <si>
    <t>공문 자동 작성 응답 생성</t>
  </si>
  <si>
    <t>응답 근거 문서 첨부</t>
  </si>
  <si>
    <t>답변과 관련 문서 링크 첨부</t>
  </si>
  <si>
    <t>요약형 응답 출력</t>
  </si>
  <si>
    <t>간단 요약 응답 제공</t>
  </si>
  <si>
    <t>상세형 응답 출력</t>
  </si>
  <si>
    <t>세부설명 포함 응답 제공</t>
  </si>
  <si>
    <t>음성 응답(TTS) 출력</t>
  </si>
  <si>
    <t>응답 텍스트→음성 변환</t>
  </si>
  <si>
    <t>운영·모니터링</t>
  </si>
  <si>
    <t>응답 정확도 검증 대시보드</t>
  </si>
  <si>
    <t>정확도/만족도 통계 대시보드</t>
  </si>
  <si>
    <t>사용자 피드백 저장소</t>
  </si>
  <si>
    <t>피드백/평가 저장</t>
  </si>
  <si>
    <t>성능 통계 수집 처리</t>
  </si>
  <si>
    <t>WER/FP 기반 성능 데이터 수집</t>
  </si>
  <si>
    <t>오류 로그 조회</t>
  </si>
  <si>
    <t>실패 응답/예외 로그 조회</t>
  </si>
  <si>
    <t>연계 서비스</t>
  </si>
  <si>
    <t>민원포털 API 연계</t>
  </si>
  <si>
    <t>민원포털 API 수집·연계</t>
  </si>
  <si>
    <t>통합플랫폼 데이터 연계</t>
  </si>
  <si>
    <t>통합플랫폼 API 연계</t>
  </si>
  <si>
    <t>만덕콜센터 데이터 연계</t>
  </si>
  <si>
    <t>콜센터 음성/민원 연계</t>
  </si>
  <si>
    <t>외부 지자체 데이터 연계</t>
  </si>
  <si>
    <t>전북도청 컨설팅 데이터 연계</t>
  </si>
  <si>
    <t>대시보드 및 시각화 개발 용역</t>
    <phoneticPr fontId="4" type="noConversion"/>
  </si>
  <si>
    <t xml:space="preserve"> 대시보드 및 시각화 기능점수</t>
    <phoneticPr fontId="4" type="noConversion"/>
  </si>
  <si>
    <t>민원 분석 대응 서비스 데이터</t>
  </si>
  <si>
    <t>제주시 민원 정보 DB</t>
  </si>
  <si>
    <t xml:space="preserve">AI 솔루션이 수집-정제-가공한 민원정보 </t>
  </si>
  <si>
    <t>서귀포시 민원 정보 DB</t>
  </si>
  <si>
    <t>만덕콜센터 민원 정보 DB</t>
  </si>
  <si>
    <t>제주시 민원 정보 RAW-Dtata</t>
  </si>
  <si>
    <t>가공전 민원 원본 정보</t>
  </si>
  <si>
    <t>서귀포시 민원정보 RAW-Data</t>
  </si>
  <si>
    <t>만덕콜 센터 민원 정보 RAW-Data</t>
  </si>
  <si>
    <t>국민 신문고 민원 정보 DB</t>
  </si>
  <si>
    <t>국민 신문고 민원 정보 RAW-Data</t>
  </si>
  <si>
    <t>기상청 기상예보정보 (단기예보구역)</t>
  </si>
  <si>
    <t>단기예보 시·공간 세분화 발표 예보 정보</t>
  </si>
  <si>
    <t>기상청 기상예보정보 (단기개황)</t>
  </si>
  <si>
    <t>단기개황 시·공간 세분화 발표 예보 정보</t>
  </si>
  <si>
    <t>기상청 기상예보정보 (단기육상)</t>
  </si>
  <si>
    <t>단기육상 기상 시·공간 세분화 발표 예보 정보</t>
  </si>
  <si>
    <t>기상청 기상예보정보 (단기해상)</t>
  </si>
  <si>
    <t>단기해상 기상 시·공간 세분화 발표 예보 정보</t>
  </si>
  <si>
    <t>기상청 기상예보정보 (단기동네)</t>
  </si>
  <si>
    <t>단기 동네 예보</t>
  </si>
  <si>
    <t>기상청 기상예보정보 (초단기)</t>
  </si>
  <si>
    <t>단기 동네 예보(10간격)</t>
  </si>
  <si>
    <t>기상청 동네예보 통보문 (기상개황)</t>
  </si>
  <si>
    <t>기상청 동네예보 통보문 (육상예보)</t>
  </si>
  <si>
    <t>기상청 동네예보 통보문 (해상예보)</t>
  </si>
  <si>
    <t>기상청 기상예보정보 Data(중기)</t>
  </si>
  <si>
    <t>기상성 기상예보정보 Data(주)</t>
  </si>
  <si>
    <t>기상청 생활기상 지수</t>
  </si>
  <si>
    <t>기상청 보건기상 지수</t>
  </si>
  <si>
    <t>기상청 태풍정보(태풍목록)</t>
  </si>
  <si>
    <t>기상청 태풍정보(태풍정보+예측)</t>
  </si>
  <si>
    <t>기상청 태풍정보TD(TD목록)</t>
  </si>
  <si>
    <t>기상청 국내·외 지진정보</t>
  </si>
  <si>
    <t>기상청 지진목록</t>
  </si>
  <si>
    <t>기상청 지진 통보문</t>
  </si>
  <si>
    <t>기상정보 통합 표출(요약)</t>
  </si>
  <si>
    <t>기상정보 통합 표출(상세)</t>
  </si>
  <si>
    <t>민원 정보 표출(요약)</t>
  </si>
  <si>
    <t>민원 정보 표출(상세)</t>
  </si>
  <si>
    <t>음성민원 발생정보 표출(요약)</t>
  </si>
  <si>
    <t>음성민원 발생정보 표출(상세)</t>
  </si>
  <si>
    <t>제주도 공간정보 DB(전체)</t>
  </si>
  <si>
    <t>제주도 공간정보 지도</t>
  </si>
  <si>
    <t>제주도 공간정보(격자)</t>
  </si>
  <si>
    <t>격자단위 제조도 공간정보</t>
  </si>
  <si>
    <t>민원유형별 검색</t>
  </si>
  <si>
    <t>민원유형별 검색 조건 정보</t>
  </si>
  <si>
    <t>민원유형별 검색 결과</t>
  </si>
  <si>
    <t>격자단위 민원 발생 표출(요약)</t>
  </si>
  <si>
    <t>격자단위 민원 발생 표출</t>
  </si>
  <si>
    <t>격자별 발생 민원 표출</t>
  </si>
  <si>
    <t>민원 유형별 분석 보고서</t>
  </si>
  <si>
    <t>지역별 민원 발생 보고서</t>
  </si>
  <si>
    <t>AI Assistant 질의</t>
  </si>
  <si>
    <t>AI Assistant 질의 결과 분류</t>
  </si>
  <si>
    <t>AI Assistant 질의 결과 표출</t>
  </si>
  <si>
    <t>주차장 위치 정보</t>
  </si>
  <si>
    <t>주차장 위치정보</t>
  </si>
  <si>
    <t>주자창 시설 정보(주차면)</t>
  </si>
  <si>
    <t>주차장 시설정보(주차면)</t>
  </si>
  <si>
    <t>주차장 시설 정보(카메라)</t>
  </si>
  <si>
    <t>주차장 시설정보(카메라)</t>
  </si>
  <si>
    <t>주차장 민원 정보</t>
  </si>
  <si>
    <t>주차장 영상 정보</t>
  </si>
  <si>
    <t>충전기 위치 정보</t>
  </si>
  <si>
    <t>충전기 운영 정보</t>
  </si>
  <si>
    <t>주차장 이벤트 정보</t>
  </si>
  <si>
    <t xml:space="preserve"> 주차장 생황안전 분석</t>
  </si>
  <si>
    <t>주차장 생활안전분석</t>
  </si>
  <si>
    <t>이벤트별 정보 표출(요약)</t>
  </si>
  <si>
    <t>이벤트별 정보 표출(상세)</t>
  </si>
  <si>
    <t>이벤트벼 정보 표출(상세)</t>
  </si>
  <si>
    <t>격자단위 이벤트 발생 빈도 표출</t>
  </si>
  <si>
    <t>히트맵 단위 이벤트 발생 빈도 표출</t>
  </si>
  <si>
    <t>"데이터 표준화" 산출내역서- 투입공수에 의한 방식</t>
    <phoneticPr fontId="24" type="noConversion"/>
  </si>
  <si>
    <t xml:space="preserve">(소프트웨어사업 대가산정 가이드, 2025. KOSA) </t>
    <phoneticPr fontId="24" type="noConversion"/>
  </si>
  <si>
    <t>○ 투입공수 방식 SW운영비 산정</t>
    <phoneticPr fontId="60" type="noConversion"/>
  </si>
  <si>
    <t>(단위 : 원)</t>
    <phoneticPr fontId="60" type="noConversion"/>
  </si>
  <si>
    <t>업무 구분</t>
    <phoneticPr fontId="24" type="noConversion"/>
  </si>
  <si>
    <t>직무</t>
    <phoneticPr fontId="24" type="noConversion"/>
  </si>
  <si>
    <t>투입구분</t>
    <phoneticPr fontId="24" type="noConversion"/>
  </si>
  <si>
    <t>ⓐ평균임금
(Month)</t>
    <phoneticPr fontId="24" type="noConversion"/>
  </si>
  <si>
    <t>ⓑ투입기간
(Month)</t>
    <phoneticPr fontId="24" type="noConversion"/>
  </si>
  <si>
    <t>ⓒ투입률
(업무 비중)</t>
  </si>
  <si>
    <t>직접인건비
(ⓐxⓑxⓒ)</t>
    <phoneticPr fontId="24" type="noConversion"/>
  </si>
  <si>
    <t>데이터 표준화 전략 수립 및 컨설팅</t>
    <phoneticPr fontId="4" type="noConversion"/>
  </si>
  <si>
    <t>② IT컨설턴트</t>
  </si>
  <si>
    <t>평균</t>
    <phoneticPr fontId="4" type="noConversion"/>
  </si>
  <si>
    <t>표준 데이터모델 정의 및 메타데이터 분석</t>
    <phoneticPr fontId="4" type="noConversion"/>
  </si>
  <si>
    <t>④ 데이터분석가</t>
  </si>
  <si>
    <t>표준 준수 검증 및 품질 관리</t>
    <phoneticPr fontId="4" type="noConversion"/>
  </si>
  <si>
    <t>⑭ IT품질관리자</t>
  </si>
  <si>
    <t>평균</t>
  </si>
  <si>
    <t>표준모델 적용 시험 및 호환성 검증</t>
    <phoneticPr fontId="4" type="noConversion"/>
  </si>
  <si>
    <t>⑮ IT테스터</t>
  </si>
  <si>
    <t>업무 프로세스 분석 및 표준요건 도출</t>
    <phoneticPr fontId="4" type="noConversion"/>
  </si>
  <si>
    <t>③ 업무분석가</t>
  </si>
  <si>
    <t>총 투입공수</t>
    <phoneticPr fontId="60" type="noConversion"/>
  </si>
  <si>
    <t>투입기간 * 투입률</t>
  </si>
  <si>
    <t>직접인건비 합계</t>
    <phoneticPr fontId="24" type="noConversion"/>
  </si>
  <si>
    <t>∑(직무별 투입공수 x 평균임금)</t>
    <phoneticPr fontId="24" type="noConversion"/>
  </si>
  <si>
    <t>제경비</t>
    <phoneticPr fontId="24" type="noConversion"/>
  </si>
  <si>
    <t>직접인건비의 110~120%</t>
    <phoneticPr fontId="24" type="noConversion"/>
  </si>
  <si>
    <t>기술료</t>
    <phoneticPr fontId="24" type="noConversion"/>
  </si>
  <si>
    <t>(직접인건비 + 제경비)의 15~40%</t>
    <phoneticPr fontId="24" type="noConversion"/>
  </si>
  <si>
    <t>직접경비</t>
    <phoneticPr fontId="24" type="noConversion"/>
  </si>
  <si>
    <t>해당사항없음</t>
    <phoneticPr fontId="24" type="noConversion"/>
  </si>
  <si>
    <t>소프트웨어 운영비(부가세 별도)</t>
    <phoneticPr fontId="24" type="noConversion"/>
  </si>
  <si>
    <t>직접인건비 + 제경비 + 기술료 + 직접경비</t>
    <phoneticPr fontId="24" type="noConversion"/>
  </si>
  <si>
    <t>절사금액</t>
    <phoneticPr fontId="24" type="noConversion"/>
  </si>
  <si>
    <t>조정(단가조정)</t>
    <phoneticPr fontId="24" type="noConversion"/>
  </si>
  <si>
    <t>부가가치세</t>
    <phoneticPr fontId="24" type="noConversion"/>
  </si>
  <si>
    <t>(소프트웨어 운영비-절사금액)*10%</t>
    <phoneticPr fontId="4" type="noConversion"/>
  </si>
  <si>
    <t>소프트웨어 운영비(부가세 포함)</t>
    <phoneticPr fontId="24" type="noConversion"/>
  </si>
  <si>
    <t>*상기견적은 제경비율 110%, 기술료 15%를 적용함</t>
    <phoneticPr fontId="24" type="noConversion"/>
  </si>
  <si>
    <t>구 분</t>
  </si>
  <si>
    <t>하위</t>
    <phoneticPr fontId="4" type="noConversion"/>
  </si>
  <si>
    <t>상위</t>
    <phoneticPr fontId="4" type="noConversion"/>
  </si>
  <si>
    <t>① IT기획자</t>
  </si>
  <si>
    <t>⑤ IT PM</t>
  </si>
  <si>
    <t>⑥ IT아키텍트</t>
  </si>
  <si>
    <t>⑦ UI/UX기획/개발자</t>
  </si>
  <si>
    <t>⑧ UI/UX디자이너</t>
  </si>
  <si>
    <t>⑨ 응용SW개발자</t>
  </si>
  <si>
    <t>⑩ 시스템SW개발자</t>
  </si>
  <si>
    <t>⑪ 정보시스템운용자</t>
  </si>
  <si>
    <t>⑫ IT지원기술자</t>
  </si>
  <si>
    <t>⑬ IT마케터</t>
  </si>
  <si>
    <t>⑯ IT감리</t>
  </si>
  <si>
    <t>⑰ 정보보안전문가</t>
  </si>
  <si>
    <t>2025년 적용 SW기술자 평균임금 공표</t>
    <phoneticPr fontId="4" type="noConversion"/>
  </si>
  <si>
    <t>월평균임금(M/M)</t>
  </si>
  <si>
    <t>일평균임금
(M/D)</t>
  </si>
  <si>
    <t>시간평균임금(M/H)</t>
  </si>
  <si>
    <t>25백분위수 (M/D)</t>
  </si>
  <si>
    <t>75백분위수 (M/D)</t>
  </si>
  <si>
    <t>포함직무</t>
  </si>
  <si>
    <t>정보보호컨설턴트</t>
  </si>
  <si>
    <t>SW아키텍트, 데이터아키텍트, Infrastructure아키텍트, 데이터베이스아키텍트</t>
    <phoneticPr fontId="4" type="noConversion"/>
  </si>
  <si>
    <t>UI/UX기획자, UI/UX개발자</t>
  </si>
  <si>
    <t>빅데이터개발자,인공지능개발자</t>
    <phoneticPr fontId="4" type="noConversion"/>
  </si>
  <si>
    <t>임베디드SW개발자</t>
  </si>
  <si>
    <t>데이터베이스운용자, NW엔지니어, 
IT시스템운용자</t>
    <phoneticPr fontId="4" type="noConversion"/>
  </si>
  <si>
    <t>SW제품기획자, IT서비스기획자, IT기술영업</t>
  </si>
  <si>
    <t>정보보호관리자, 침해사고대응전문가</t>
    <phoneticPr fontId="4" type="noConversion"/>
  </si>
  <si>
    <t>&lt;본 평균임금을 SW사업대가 활용시 유의사항&gt;</t>
  </si>
  <si>
    <t xml:space="preserve"> ※ 본 조사결과는 SW사업에서 SW기술자 인건비 평균 값임을 고려하여 활용 가능하며, 수·발주자간 자율적</t>
  </si>
  <si>
    <t xml:space="preserve">    협의에 의해서도 유연하게 적용할 수 있음</t>
  </si>
  <si>
    <t xml:space="preserve"> * SW기술자 평균임금은 소프트웨어진흥법 제46조(적정 대가 지급 등) 4항 ‘소프트웨어기술자의 인건비 </t>
  </si>
  <si>
    <t xml:space="preserve">   기준’을 지칭함</t>
  </si>
  <si>
    <t xml:space="preserve"> * SW기술자 평균임금은 기본급, 제수당, 상여금, 퇴직급여충당금, 법인부담금(4대보험)을 모두 포함한 결과임</t>
  </si>
  <si>
    <t xml:space="preserve"> * 일평균임금은 월평균임금÷`24년 평균근무일수(20.6일), 시간평균임금은 일평균임금÷8시간 으로 각각 산정함 </t>
  </si>
  <si>
    <t xml:space="preserve"> * 월평균 근무일수는 휴일, 법정공휴일 등을 제외한 업체가 응답한 근무일의 평균이며, 이는 개인의 휴가 사용</t>
  </si>
  <si>
    <t xml:space="preserve">   여부와는 무관함       </t>
  </si>
  <si>
    <t xml:space="preserve"> * SW기술자 평균임금은 전년 대비 4.2% 증가함</t>
  </si>
  <si>
    <t xml:space="preserve"> * 25/75 백분위수는 조사된 직무별 임금의 구간, 분포에 대한 참고 값임(백분위수 : 백분위수는 크기가 있는      </t>
  </si>
  <si>
    <t xml:space="preserve">   값들로 이뤄진 자료를 순서대로 나열했을 때 백분율로 나타낸 특정 위치의 값을 이르는 용어이다. </t>
  </si>
  <si>
    <t xml:space="preserve">   일반적으로 크기가 작은 것부터 나열하여 가장 작은 것을 0, 가장 큰 것을 100으로 한다.)</t>
  </si>
  <si>
    <t>ITSQF 직무체계 및 정의</t>
    <phoneticPr fontId="4" type="noConversion"/>
  </si>
  <si>
    <t>번호</t>
  </si>
  <si>
    <t>직종</t>
  </si>
  <si>
    <t>조사용 직무</t>
  </si>
  <si>
    <t>ITSQF 직무</t>
  </si>
  <si>
    <t xml:space="preserve">직무 정의 </t>
  </si>
  <si>
    <t>유관직업 예시</t>
    <phoneticPr fontId="4" type="noConversion"/>
  </si>
  <si>
    <t>IT컨설팅 및 기획</t>
    <phoneticPr fontId="4" type="noConversion"/>
  </si>
  <si>
    <t>IT기획자</t>
  </si>
  <si>
    <t>정보기술기획</t>
  </si>
  <si>
    <t>조직의 경영목표를 달성하기 위하여 IT전략을 기획하고, 거버넌스, 투자성과분석, 운영 정책, R&amp;D, 프로세스, 아키텍처 등 분야 별 전략을 수립하는 일이다.</t>
  </si>
  <si>
    <t>IT기획, IT 인프라기획, IT전략</t>
    <phoneticPr fontId="24" type="noConversion"/>
  </si>
  <si>
    <t>IT컨설턴트</t>
  </si>
  <si>
    <t>정보기술컨설팅</t>
    <phoneticPr fontId="4" type="noConversion"/>
  </si>
  <si>
    <t>조직의 목표를 달성하는데 도움이 될 수 있도록, 객관적인 시각에서 조직 경영 환경을 이해하고 대상 업무 및 정보시스템을 분석하여 개선 방안을 지도, 자문 및 상담을 수행하는 일이다.　</t>
  </si>
  <si>
    <t>IT컨설턴트, IS컨설턴트</t>
    <phoneticPr fontId="24" type="noConversion"/>
  </si>
  <si>
    <t>정보보호컨설팅</t>
  </si>
  <si>
    <r>
      <t>주요 정보자산을 보호하기 위한 관리적, 물리적, 기술적 영역의 보안 요구사항과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돋움"/>
        <family val="3"/>
        <charset val="129"/>
      </rPr>
      <t xml:space="preserve">사전 정의된 프로세스에 대해 객관적인 충족여부를 검증하고 자문하는 일이다. </t>
    </r>
  </si>
  <si>
    <t>정보보호컨설턴트, 보안 컨설팅, 
정보보호컨설팅 컨설턴트</t>
    <phoneticPr fontId="24" type="noConversion"/>
  </si>
  <si>
    <t xml:space="preserve">업무분석가 </t>
  </si>
  <si>
    <t>업무분석</t>
  </si>
  <si>
    <r>
      <t>조직의 비전과 목표, 구조, 정책 등의 이해를 바탕으로 업무 요구사항을 도출하고 분석</t>
    </r>
    <r>
      <rPr>
        <vertAlign val="superscript"/>
        <sz val="10"/>
        <color rgb="FF000000"/>
        <rFont val="돋움"/>
        <family val="3"/>
        <charset val="129"/>
      </rPr>
      <t>1)</t>
    </r>
    <r>
      <rPr>
        <sz val="10"/>
        <color rgb="FF000000"/>
        <rFont val="돋움"/>
        <family val="3"/>
        <charset val="129"/>
      </rPr>
      <t>하여, 목적에 부합하는 대응전략 수립하는 일이다.</t>
    </r>
  </si>
  <si>
    <t xml:space="preserve">업무분석가, 비즈니스분석가 </t>
    <phoneticPr fontId="4" type="noConversion"/>
  </si>
  <si>
    <t>*타 직무에서 수행하는 분석, 설계 업무의 혼선 방지를 위해 아래의 주석을 표시함
1)분석 : 조직 내·외부의 경영 환경에 영향을 주는 고객과 경쟁기업, 산업동향, 내부 역량을 분석하는 능력</t>
    <phoneticPr fontId="4" type="noConversion"/>
  </si>
  <si>
    <t>데이터분석가</t>
  </si>
  <si>
    <t>데이터분석</t>
  </si>
  <si>
    <t>데이터 이해 및 처리 기술에 대한 기본지식을 바탕으로 데이터 분석 기획, 데이터 분석, 데이터 시각화 업무를 수행하고 이를 통해 프로세스 혁신 및 마케팅 전략 결정 등의 과학적 의사결정을 지원하는 일이다.</t>
  </si>
  <si>
    <t>데이터 기획자, 데이터최고책임자(CDO), 
Search Developer, Data Scientist(과학자),
데이터 분석 전문가, Data Analysis, 
데이터 사이언스, 데이터 분석가,
데이터분석/컨설팅, 금융 데이터 분석, 
데이터 분석 및 가공, 빅데이터 처리-분석</t>
    <phoneticPr fontId="24" type="noConversion"/>
  </si>
  <si>
    <t>IT프로젝트관리</t>
  </si>
  <si>
    <t>IT PM</t>
  </si>
  <si>
    <t>IT프로젝트 인도물의 납기 준수를 위하여 프로젝트를 기획하고, 범위, 일정, 원가, 인적자원, 품질, 위험, 의사소통, 조달, 변경, 보안, 정보시스템 성과 등을 통합 관리하는 일이다.　</t>
  </si>
  <si>
    <t>IT PM, Agile Coach, 프로젝트 관리, PL, 
PM(Project Manager)</t>
    <phoneticPr fontId="24" type="noConversion"/>
  </si>
  <si>
    <t>IT아키텍처</t>
  </si>
  <si>
    <t>IT아키텍트</t>
  </si>
  <si>
    <t>SW아키텍처</t>
  </si>
  <si>
    <t>SW의 기능, 성능, 보안 등의 품질을 보장하고 SW를 구성하는 요소와 관계를 분석, 설계하여 전체적인 SW 구조를 체계화하는 일이다.　</t>
  </si>
  <si>
    <t>SW 아키텍트, 솔루션 아키텍트, 
웹 아키텍트, 어플리케이션 아키텍트</t>
    <phoneticPr fontId="24" type="noConversion"/>
  </si>
  <si>
    <t>Infrastructure</t>
  </si>
  <si>
    <t>하드웨어, 미들웨어, 네트워크, 클라우드를 포함하는 인프라를 설계, 구성하여 모든 지원들의 적합성 및 신뢰성 있는 서비스를 제공할 수 있도록 체계화하는 일이다.</t>
  </si>
  <si>
    <t>Infrastructure아키텍트, 
네트워크 아키텍트, 시스템 아키텍트, 
테크니컬 아키텍트, 클라우드 시스템 엔지니어,
퍼블릭 클라우드 아키텍트</t>
    <phoneticPr fontId="24" type="noConversion"/>
  </si>
  <si>
    <t>데이터아키텍처</t>
  </si>
  <si>
    <t>데이터를 구조적 관점에서 설계, 생성, 배치, 관리하며, 다양한 데이터 엔터티뿐만 아니라 해당 데이터를 처리하는 애플리케이션에 의해 데이터가 저장, 소비, 통합 및 관리될 수 있도록 체계화하는 일이다.</t>
  </si>
  <si>
    <t>데이터 아키텍트, 데이터 모델러, 
데이터베이스 설계자, 데이터베이스 아키텍트, 
데이터 설계자, DW설계자, 빅데이터아키텍트, 
데이터 기술자, 데이터 전략 수립 담당자</t>
    <phoneticPr fontId="24" type="noConversion"/>
  </si>
  <si>
    <t>SW개발</t>
    <phoneticPr fontId="4" type="noConversion"/>
  </si>
  <si>
    <t>UI/UX
기획/개발</t>
    <phoneticPr fontId="4" type="noConversion"/>
  </si>
  <si>
    <t>UI/UX기획</t>
  </si>
  <si>
    <t>서비스의 본질적 특성에 대한 이해를 기반으로 트렌드 분석, 사용자 이용 행태 분석 등을 통해 이해관계자 및 사용자의 요구를 발굴하고 사용성을 극대화 할 수 있는 UI/UX를 설계 및 검증하여 서비스의 목적과 용도에 맞게 최적화 된 UI를 제공하는 일이다.</t>
  </si>
  <si>
    <t>UI/UX 기획자, UI/UX분석가, 웹기획자, App 기획자, 모바일 앱서비스 기획자</t>
    <phoneticPr fontId="24" type="noConversion"/>
  </si>
  <si>
    <t>UI/UX개발</t>
  </si>
  <si>
    <t>사용자의 이용형태 및 기술환경을 분석하여, 사용자 인터페이스(UI/UX)의 기획 및 아키텍처를 구축하고, 프로토타입 검증, 설계 및 구현 과정을 통해 효과적인 UI/UX를 개발하는 일이다.</t>
  </si>
  <si>
    <t>UI/UX 개발자, 웹퍼블리셔, 퍼블리셔&amp;프론트 개발자,
 Web&amp;Mobile 퍼블리싱, 홈페이지 웹 퍼블리싱</t>
    <phoneticPr fontId="24" type="noConversion"/>
  </si>
  <si>
    <t>UI/UX
디자인</t>
    <phoneticPr fontId="4" type="noConversion"/>
  </si>
  <si>
    <t>UI/UX디자인</t>
  </si>
  <si>
    <t xml:space="preserve">UI/UX 디자인의 매체별 트렌드, 사용자 경험 분석을 통해 디자인 전략 및 콘셉트를 도출하고 UI 디자인 요소를 다양한 기법을 활용해 시각화하여 사용자 요구를 검증하고 매체별 최적화된 디자인과 사용성을 제공하는 일이다. </t>
  </si>
  <si>
    <t>UI/UX 디자이너, 웹디자이너, 그래픽디자이너, 
웹콘텐츠 디자이너, UI/UX 설계</t>
    <phoneticPr fontId="24" type="noConversion"/>
  </si>
  <si>
    <t>응용SW개발자</t>
    <phoneticPr fontId="4" type="noConversion"/>
  </si>
  <si>
    <t>응용SW개발</t>
  </si>
  <si>
    <r>
      <t>컴퓨터 프로그래밍 언어로 응용소프트웨어의 분석</t>
    </r>
    <r>
      <rPr>
        <vertAlign val="superscript"/>
        <sz val="10"/>
        <color rgb="FF000000"/>
        <rFont val="돋움"/>
        <family val="3"/>
        <charset val="129"/>
      </rPr>
      <t>1)</t>
    </r>
    <r>
      <rPr>
        <sz val="10"/>
        <color rgb="FF000000"/>
        <rFont val="돋움"/>
        <family val="3"/>
        <charset val="129"/>
      </rPr>
      <t>, 설계</t>
    </r>
    <r>
      <rPr>
        <vertAlign val="superscript"/>
        <sz val="10"/>
        <color rgb="FF000000"/>
        <rFont val="돋움"/>
        <family val="3"/>
        <charset val="129"/>
      </rPr>
      <t>2)</t>
    </r>
    <r>
      <rPr>
        <sz val="10"/>
        <color rgb="FF000000"/>
        <rFont val="돋움"/>
        <family val="3"/>
        <charset val="129"/>
      </rPr>
      <t>, 구현 및 테스트, 배포 등을 통해 제품의 기능을 개발하고 개선하는 일이다.</t>
    </r>
  </si>
  <si>
    <t>응용SW 분석가, 응용SW 설계자, 모바일 개발자, 
모바일 앱 개발자, 어플리케이션 개발자, 
웹 개발자, 빅데이터 개발자, 인공지능 SW개발자, 
하둡기반 빅데이터 분석 시스템 개발,
프론트엔드 개발, 프레임워크/미들웨어/응용 SW개발, 파이썬 웹 서버 개발자, 파이썬 기반 데이터 처리, 
클라이언트 프로그래머, 클라이언트 개발,
클라우드 서비스 플랫폼 개발, 정보시스템 개발/운영, 전산시스템 개발, 인공지능 엔지니어, 
윈도우 어플리케이션 개발, 웹사이트 유지보수/개발,
웹사이트 서비스 개발, 웹 프론트 개발, 
웹 프로그램 유지보수 및 개발, 웹 백엔드 개발, 
영상통화 서버 개발, 에너지 데이터 분석 및 개발, 
안드로이드 개발자, 솔루션개발 및 구축, 솔루션 엔지니어, 솔루션 개발(웹 개발), 솔루션 개발(서버 개발),
소프트웨어 공학 엔지니어, 서비스 Server 개발, 
사업화연계연구개발자, 빅데이터 플랫폼 및 JAVA 개발, 블록체인 기반 서비스개발, 뱅킹 서비스 개발 및 운영, 백엔드 테크니컬 프로그래머, 백엔드 웹 개발, 
백엔드 시스템 개발, 백엔드 개발자,
모빌리티 플랫폼 개발, 모바일 프론트 엔드 개발, 
모바일 채널 서비스 개발 및 운영,
머신러닝 엔지니어, 메시징 솔루션 개발, 
딥러닝/컴퓨터 비전 개발,
딥러닝 응용 어플리케이션 개발, 딥러닝 연구 개발, 
딥러닝 네트워크 모델 및 자체 프레임워크 개발, 
데브옵스 개발, 금융IT 서비스 개발 및 운영, 
검색 서비스 개발, Web Developer, VR/AR 개발, 
VB 개발자, VAN서비스개발, SW 개발 및 배포,
Software Developer, SM 운영 유지보수, SDK 개발자, SAP ERP 구축/운영, Salesforce 개발, RPA 개발, REACT 개발, PYTHON 개발, PHP 웹 개발자,
PHP 백엔드 개발자, PHP 및 JAVA 개발, 
LMS웹사이트 개발(ASP, ASP.net),
Javascript Developer, JAVA/JSP 개발, 
JAVA 웹프로그래머, JAVA 웹개발자,
IoT 플랫폼 개발, JAVA 서버/프런트 개발, 
JAVA 서버/웹 개발, JAVA 개발자,
JAVA 개발 및 유지보수, JAVA WEB/Mobile 개발자, Java jsp 프론트엔드/백엔드 개발,
IOS앱 개발, IOS, Android 개발, iOS Developer, 
Front-End 개발자, Front-end Developer,
Framework 개발, ERP시스템 개발, ERP 개발 및 유지보수, DW Data Engineer,
DevOps 개발, Developer, Deep Learning R&amp;D Engineer, Data Platform Engineer,
CRM 솔루션 개발, Cloud 개발, C#/ASP.NET/MVC/JAVA 개발, C# 개발자,
Backend Developer, APP 서버개발, Android Developer, AI기반 개인화 추천 시스템 개발
AI 솔루션 연구개발, AI 딥러닝, 머신러닝 개발, 
AI 기획 및 개발, AI SW/Dataset 개발,
AI Platform Engineer, .NET, C3, ASP.NET 개발</t>
    <phoneticPr fontId="4" type="noConversion"/>
  </si>
  <si>
    <t>*타 직무에서 수행하는 분석, 설계 업무의 혼선 방지를 위해 아래의 주석을 표시함
1)분석 : 구현하고자 하는 애플리케이션의 요구사항을 도출, 분석, 명세화 및 요구사항 검증을 수행하는 능력
2)설계 : 요구사항 확인을 통한 상세분석 결과, SW아키텍쳐 가이드라인 및 SW 아키텍처 산출물에 의거하여 이에 따른 애플리케이션 구현을 수행하기 위해 공통 모듈 설계, 타 시스템 연동에 대하여 상세 설계하는 능력</t>
    <phoneticPr fontId="4" type="noConversion"/>
  </si>
  <si>
    <t>SW개발</t>
  </si>
  <si>
    <t>시스템SW개발자</t>
    <phoneticPr fontId="4" type="noConversion"/>
  </si>
  <si>
    <t>시스템SW개발</t>
  </si>
  <si>
    <t>운영체제 환경에서 시스템 자원을 제어 및 관리하는 소프트웨어와 응용프로그램의 동작을 위한 시스템 플랫폼의 요구사항 분석 및 설계, 구현, 배포를 수행하는 일이다.</t>
  </si>
  <si>
    <t xml:space="preserve">시스템SW개발자, 시스템SW분석가, 시스템SW설계자, OS개발자, 시스템 프로그래머 </t>
    <phoneticPr fontId="24" type="noConversion"/>
  </si>
  <si>
    <t>임베디드SW개발</t>
  </si>
  <si>
    <t>하드웨어 플랫폼에 대한 이해를 바탕으로 플랫폼별 운영체제 이식과 펌웨어, 디바이스 드라이버, 애플리케이션 등의 SW를 개발하고, 하드웨어 플랫폼 최적화를 수행하는 일이다.</t>
  </si>
  <si>
    <t>임베디드SW개발자, 임베디드SW분석가, 
임베디드SW설계자, 펌웨어 개발자,
임베디드 시스템 개발, HW &amp; 펌웨어 개발, STM32/PIC계열 등 관련 MCU개발,
인버터 펌웨어 개발, 시스템 제어 사양 개발, 
SW 개발(Device Driver),
Embedded OS기반 응용 SW개발, 
SoC 플랫폼 개발</t>
    <phoneticPr fontId="24" type="noConversion"/>
  </si>
  <si>
    <t>시스템 구축</t>
  </si>
  <si>
    <t>정보시스템
운용자</t>
    <phoneticPr fontId="4" type="noConversion"/>
  </si>
  <si>
    <t>데이터베이스관리</t>
    <phoneticPr fontId="4" type="noConversion"/>
  </si>
  <si>
    <t>데이터에 대한 요구사항으로부터 데이터베이스를 설계, 구축, 전환하고, 최적의 성능과 품질을 확보하도록 추이분석 등을 통하여 데이터베이스를 수정, 개선, 백업하는 등의 업무를 수행하는 일이다.</t>
  </si>
  <si>
    <t>데이터베이스 운용자, MSSQL DBA, DBA, 
클라우드/DB 관리자, 데이터 엔지니어</t>
    <phoneticPr fontId="24" type="noConversion"/>
  </si>
  <si>
    <t>NW엔지니어링</t>
  </si>
  <si>
    <t>네트워크 환경을 분석하고 네트워크에 대한 토폴로지, 자원관리, 품질 관리를 설계하고 구성하는 일이다.</t>
  </si>
  <si>
    <t>NW 엔지니어, NW 구축, NW시스템분석가, 
NW시스템설계자, NW시스템개발자</t>
    <phoneticPr fontId="24" type="noConversion"/>
  </si>
  <si>
    <t>IT시스템관리</t>
  </si>
  <si>
    <t>시스템 요구사항을 분석하고 클라우드와 가상화, 시스템과 네트워크 및 스토리지 자원의 HW, SW 서비스 플랫폼을 구축, 운영, 관리하여 안정적 컴퓨팅 인프라 및 정보시스템의 운용을 담당하는 일이다.</t>
  </si>
  <si>
    <t>IT시스템 운용자, NW운용자, 서버운용자, 
웹마스터, 웹 운용자, 정보보안관제원, IS운용자, 
빅데이터엔지니어, 서버/스토리지/시스템 운영 SA, 
미들웨어 운영 SA, 가상화 서버 운영 SA, 
시스템 관제 운영, 시스템 엔지니어, 
전산시스템 운영 및 개발, 
Linux/Windows 시스템운영, 
퍼블릭 클라우드 인프라 운영, 클라우드 보안 운영,
빅데이터 플랫폼 엔지니어, VDI 구축/운영, 
Linux 구축/운영, 인프라담당자,
System Engineering Specialist, 시스템 운영 모니터링, 인프라 운영, 미들웨어 운영, 네트워크 운영, 보안관제, 서버/스토리지 Infrastructure 관리, 네트워크 관리,
Cloud 시스템 구축/운영, IT-네트워크 운영, 
리눅스 엔지니어, 플랫폼 운영, IDC 운영/관리, 
서버 엔지니어, 리눅스 구축 및 기술개발, 
IT 인프라 관리, 시스템 유지보수, 
메일/메신저 서버 운영, 
클라우드 시스템 운영, MES 시스템 운영</t>
    <phoneticPr fontId="24" type="noConversion"/>
  </si>
  <si>
    <t>IT지원기술자</t>
  </si>
  <si>
    <t>IT시스템기술지원</t>
    <phoneticPr fontId="4" type="noConversion"/>
  </si>
  <si>
    <t>정보기술 인프라에 대한 이해를 바탕으로 컴퓨터 하드웨어, 스토리지, 클라우드와 가상화, 네트워크 등 IT자원을 이용한 시스템의 구성과 장애처리를 지원하며 시스템 개선 및 정기점검 등을 통해 안정적인 컴퓨팅 인프라 운영을 지원하는 일이다.</t>
  </si>
  <si>
    <t>기술지원 엔지니어, IT지원 기술자, 시스템 유지관리 지원기술자, IT헬프데스크 운용자</t>
    <phoneticPr fontId="24" type="noConversion"/>
  </si>
  <si>
    <t>IT마케팅</t>
  </si>
  <si>
    <t>IT마케터</t>
  </si>
  <si>
    <t>SW제품기획</t>
  </si>
  <si>
    <t>기업의 경영전략을 바탕으로, SW 활용분야에 대한 기업 내/외부 환경, 요구 기술, 시장성 등을 분석하여 제품 전략을 수립하고, SW제품의 개발, 지원, 판매, 마케팅 계획을 수립, 운용하는 일이다.</t>
  </si>
  <si>
    <t>SW제품 기획자, SW솔루션 기획자, Product Designer, Product Manager, Platform 기획</t>
    <phoneticPr fontId="24" type="noConversion"/>
  </si>
  <si>
    <t>IT서비스기획</t>
  </si>
  <si>
    <t>정보기술 환경 분석을 통해 고객과 시장의 니즈에 맞는 IT서비스를 발굴하고, 제품 및 솔루션 융합으로 새로운 서비스를 기획하는 일이다.</t>
  </si>
  <si>
    <t>IT서비스 기획자, 웹서비스 기획자, 모바일서비스 기획, 온라인서비스기획, 디지털서비스 기획</t>
    <phoneticPr fontId="24" type="noConversion"/>
  </si>
  <si>
    <t>IT기술영업</t>
  </si>
  <si>
    <t>정보기술 지식을 바탕으로 고객 관리 및 영업 전략을 수립, 사업기회를 창출하고 요구사항에 적합한 솔루션 제안으로 협상, 계약, 판매 및 사후 관리 등 IT 영업을 수행하는 일이다.</t>
  </si>
  <si>
    <t>IT기술영업, IT솔루션영업, 소프트웨어 영업,
의료용 디지털 솔루션 영업, 기술영업</t>
    <phoneticPr fontId="24" type="noConversion"/>
  </si>
  <si>
    <t>IT품질관리</t>
  </si>
  <si>
    <t>IT품질관리자</t>
    <phoneticPr fontId="4" type="noConversion"/>
  </si>
  <si>
    <t>IT품질목표를 달성하기 위하여 전사적인 품질정책 및 관리체계를 수립하고 품질향상을 위해 교육 및 관리활동 등을 수행하며, 프로젝트 차원에서의 품질보증 활동을 수행하는 일이다.</t>
  </si>
  <si>
    <t>IT품질관리자, 데이터품질관리자, QA(Quality Assurance), QC(Quality Control),
품질관리(QAM), 게임QA, QA Engineer, 
제품 QA, 모바일 QA,
 개발 및 라이브 QA, 백엔드 QA</t>
    <phoneticPr fontId="24" type="noConversion"/>
  </si>
  <si>
    <t>IT테스터</t>
  </si>
  <si>
    <t>IT테스트</t>
  </si>
  <si>
    <t>테스트를 효과적으로 수행하기 위해 필요한 기획, 진단 컨설팅, 계획, 환경구축, 실행, 결함관리, 문서화를 수행하고 관리하는 일이다.</t>
  </si>
  <si>
    <t xml:space="preserve">IT테스터, SW테스터, Test Case 개발, 
소프트웨어 테스트 엔지니어 </t>
    <phoneticPr fontId="4" type="noConversion"/>
  </si>
  <si>
    <t>IT감리</t>
  </si>
  <si>
    <t>감리발주자 및 피감리원의 이해관계로부터 독립된 자가 정보시스템의 효율성을 향상시키고 안전성을 확보하기 위하여 제2자의 관점에서 정보시스템의 기획, 구축 및 운영 등에 관한 사항을 종합적으로 점검하고 문제점이 개선 되도록 시정조치사항을 도출하고 확인 하는 일이다.</t>
  </si>
  <si>
    <t xml:space="preserve">IT감리원, IT감리사, IS감리원 </t>
    <phoneticPr fontId="4" type="noConversion"/>
  </si>
  <si>
    <t>정보보호</t>
  </si>
  <si>
    <t>정보보안전문가</t>
  </si>
  <si>
    <t>정보보호관리</t>
  </si>
  <si>
    <t>조직의 비전과 미션을 수행하기 위하여 정보 자산을 안정적으로 운영하는 데 필요한 보안정책울 수립하고 관련 법제도 준수, 보호관리 활동을 수행하며, 위험관리에 기반한 정보보호 대책을 도출하여 실행토록 관리하는 일이다　</t>
  </si>
  <si>
    <t>정보보호 관리자, 정보보호 전문가, 보안관리, 
보안기술 기획, 보안관제 기획, 
보안운영, 정보보안, 정보보호</t>
    <phoneticPr fontId="4" type="noConversion"/>
  </si>
  <si>
    <t>보안사고대응</t>
  </si>
  <si>
    <t>침해사고의 피해확산 방지를 위해 위협정보를 탐지하고, 시스템 복구와 예방 전략을 수립하는 일과 업무 및 서비스에 영향을 준 증거를 확보 후 분석하여 신속하게 대응하는 일이다.</t>
  </si>
  <si>
    <t>침해사고 대응전문가, 디지털포렌식 전문가, 
모의해킹전문가, 정보보호 진단분석원,
IT security Engineer, 보안진단, CERT, 
취약점/약성코드 분석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</si>
</sst>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.0_);[Red]\(#,##0.0\)"/>
    <numFmt numFmtId="177" formatCode="#,##0_);[Red]\(#,##0\)"/>
    <numFmt numFmtId="178" formatCode="0.0000_ "/>
    <numFmt numFmtId="179" formatCode="0.00_ "/>
    <numFmt numFmtId="180" formatCode="#,##0.000_);[Red]\(#,##0.000\)"/>
    <numFmt numFmtId="181" formatCode="#,##0_ "/>
    <numFmt numFmtId="182" formatCode="0_ "/>
    <numFmt numFmtId="183" formatCode="0.0_ "/>
    <numFmt numFmtId="184" formatCode="0_);[Red]\(0\)"/>
    <numFmt numFmtId="185" formatCode="\(&quot;₩&quot;\ #,##0\)"/>
    <numFmt numFmtId="186" formatCode="_-* #,##0.0_-;\-* #,##0.0_-;_-* &quot;-&quot;?_-;_-@_-"/>
    <numFmt numFmtId="187" formatCode="0.0"/>
    <numFmt numFmtId="188" formatCode="0.0%"/>
  </numFmts>
  <fonts count="7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7"/>
      <color indexed="8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u/>
      <sz val="16"/>
      <name val="나눔고딕"/>
      <family val="3"/>
      <charset val="129"/>
    </font>
    <font>
      <sz val="8"/>
      <name val="돋움"/>
      <family val="3"/>
      <charset val="129"/>
    </font>
    <font>
      <sz val="11"/>
      <name val="나눔고딕"/>
      <family val="3"/>
      <charset val="129"/>
    </font>
    <font>
      <sz val="11"/>
      <color indexed="8"/>
      <name val="맑은 고딕"/>
      <family val="3"/>
      <charset val="129"/>
    </font>
    <font>
      <b/>
      <sz val="16"/>
      <name val="나눔고딕 ExtraBold"/>
      <family val="3"/>
      <charset val="129"/>
    </font>
    <font>
      <b/>
      <sz val="11"/>
      <name val="나눔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10"/>
      <color indexed="8"/>
      <name val="나눔고딕"/>
      <family val="3"/>
      <charset val="129"/>
    </font>
    <font>
      <b/>
      <sz val="10"/>
      <name val="나눔고딕"/>
      <family val="3"/>
      <charset val="129"/>
    </font>
    <font>
      <sz val="10"/>
      <name val="맑은 고딕"/>
      <family val="3"/>
      <charset val="129"/>
      <scheme val="minor"/>
    </font>
    <font>
      <sz val="10"/>
      <name val="나눔고딕"/>
      <family val="3"/>
      <charset val="129"/>
    </font>
    <font>
      <sz val="14"/>
      <name val="나눔고딕"/>
      <family val="3"/>
      <charset val="129"/>
    </font>
    <font>
      <b/>
      <u/>
      <sz val="28"/>
      <name val="나눔고딕"/>
      <family val="3"/>
      <charset val="129"/>
    </font>
    <font>
      <b/>
      <sz val="14"/>
      <name val="나눔고딕"/>
      <family val="3"/>
      <charset val="129"/>
    </font>
    <font>
      <b/>
      <u/>
      <sz val="14"/>
      <name val="나눔고딕"/>
      <family val="3"/>
      <charset val="129"/>
    </font>
    <font>
      <sz val="14"/>
      <color rgb="FFFF0000"/>
      <name val="나눔고딕"/>
      <family val="3"/>
      <charset val="129"/>
    </font>
    <font>
      <b/>
      <u val="singleAccounting"/>
      <sz val="14"/>
      <name val="나눔고딕"/>
      <family val="3"/>
      <charset val="129"/>
    </font>
    <font>
      <sz val="11"/>
      <color theme="1"/>
      <name val="굴림체"/>
      <family val="3"/>
      <charset val="129"/>
    </font>
    <font>
      <sz val="11"/>
      <color indexed="8"/>
      <name val="굴림체"/>
      <family val="3"/>
      <charset val="129"/>
    </font>
    <font>
      <sz val="11"/>
      <name val="굴림체"/>
      <family val="3"/>
      <charset val="129"/>
    </font>
    <font>
      <sz val="11"/>
      <color rgb="FF9C65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4"/>
      <color theme="0"/>
      <name val="나눔고딕"/>
      <family val="3"/>
      <charset val="129"/>
    </font>
    <font>
      <sz val="14"/>
      <color theme="0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sz val="10"/>
      <color theme="0"/>
      <name val="나눔고딕"/>
      <family val="3"/>
      <charset val="129"/>
    </font>
    <font>
      <b/>
      <sz val="14"/>
      <color theme="1"/>
      <name val="나눔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b/>
      <u/>
      <sz val="20"/>
      <name val="맑은 고딕"/>
      <family val="3"/>
      <charset val="129"/>
      <scheme val="major"/>
    </font>
    <font>
      <u/>
      <sz val="2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굴림체"/>
      <family val="3"/>
      <charset val="129"/>
    </font>
    <font>
      <b/>
      <sz val="10"/>
      <color theme="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u val="singleAccounting"/>
      <sz val="22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vertAlign val="superscript"/>
      <sz val="10"/>
      <color rgb="FF000000"/>
      <name val="돋움"/>
      <family val="3"/>
      <charset val="129"/>
    </font>
    <font>
      <sz val="5"/>
      <color rgb="FF000000"/>
      <name val="돋움"/>
      <family val="3"/>
      <charset val="129"/>
    </font>
    <font>
      <sz val="9.5"/>
      <color rgb="FF000000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theme="1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0" fontId="22" fillId="0" borderId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2" fillId="0" borderId="0">
      <alignment vertical="center"/>
    </xf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4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82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</cellStyleXfs>
  <cellXfs count="427">
    <xf numFmtId="0" fontId="0" fillId="0" borderId="0" xfId="0">
      <alignment vertical="center"/>
    </xf>
    <xf numFmtId="0" fontId="5" fillId="0" borderId="0" xfId="3" applyFont="1">
      <alignment vertical="center"/>
    </xf>
    <xf numFmtId="0" fontId="6" fillId="0" borderId="0" xfId="3" applyFont="1">
      <alignment vertical="center"/>
    </xf>
    <xf numFmtId="0" fontId="7" fillId="0" borderId="0" xfId="3" applyFont="1" applyAlignment="1">
      <alignment horizontal="right" vertical="center"/>
    </xf>
    <xf numFmtId="0" fontId="7" fillId="0" borderId="0" xfId="3" applyFont="1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11" xfId="3" applyFont="1" applyFill="1" applyBorder="1" applyAlignment="1">
      <alignment horizontal="center" vertical="center" wrapText="1"/>
    </xf>
    <xf numFmtId="0" fontId="10" fillId="2" borderId="11" xfId="3" applyFont="1" applyFill="1" applyBorder="1" applyAlignment="1">
      <alignment horizontal="center" vertical="center" shrinkToFit="1"/>
    </xf>
    <xf numFmtId="178" fontId="9" fillId="0" borderId="17" xfId="3" applyNumberFormat="1" applyFont="1" applyBorder="1" applyAlignment="1">
      <alignment horizontal="right" vertical="center"/>
    </xf>
    <xf numFmtId="179" fontId="9" fillId="0" borderId="17" xfId="3" applyNumberFormat="1" applyFont="1" applyBorder="1" applyAlignment="1">
      <alignment horizontal="right" vertical="center"/>
    </xf>
    <xf numFmtId="2" fontId="9" fillId="0" borderId="17" xfId="3" applyNumberFormat="1" applyFont="1" applyBorder="1" applyAlignment="1">
      <alignment horizontal="right" vertical="center"/>
    </xf>
    <xf numFmtId="180" fontId="9" fillId="0" borderId="17" xfId="3" applyNumberFormat="1" applyFont="1" applyBorder="1" applyAlignment="1">
      <alignment horizontal="right" vertical="center"/>
    </xf>
    <xf numFmtId="177" fontId="9" fillId="0" borderId="17" xfId="3" applyNumberFormat="1" applyFont="1" applyBorder="1">
      <alignment vertical="center"/>
    </xf>
    <xf numFmtId="177" fontId="9" fillId="0" borderId="18" xfId="3" applyNumberFormat="1" applyFont="1" applyBorder="1">
      <alignment vertical="center"/>
    </xf>
    <xf numFmtId="176" fontId="9" fillId="0" borderId="20" xfId="3" applyNumberFormat="1" applyFont="1" applyBorder="1">
      <alignment vertical="center"/>
    </xf>
    <xf numFmtId="177" fontId="9" fillId="0" borderId="21" xfId="3" applyNumberFormat="1" applyFont="1" applyBorder="1">
      <alignment vertical="center"/>
    </xf>
    <xf numFmtId="177" fontId="9" fillId="0" borderId="22" xfId="3" applyNumberFormat="1" applyFont="1" applyBorder="1">
      <alignment vertical="center"/>
    </xf>
    <xf numFmtId="9" fontId="9" fillId="3" borderId="24" xfId="4" applyNumberFormat="1" applyFont="1" applyFill="1" applyBorder="1" applyAlignment="1" applyProtection="1">
      <alignment horizontal="center" vertical="center"/>
      <protection locked="0"/>
    </xf>
    <xf numFmtId="177" fontId="9" fillId="0" borderId="25" xfId="3" applyNumberFormat="1" applyFont="1" applyBorder="1">
      <alignment vertical="center"/>
    </xf>
    <xf numFmtId="177" fontId="9" fillId="0" borderId="26" xfId="3" applyNumberFormat="1" applyFont="1" applyBorder="1">
      <alignment vertical="center"/>
    </xf>
    <xf numFmtId="41" fontId="12" fillId="0" borderId="29" xfId="4" applyFont="1" applyFill="1" applyBorder="1" applyAlignment="1">
      <alignment vertical="center"/>
    </xf>
    <xf numFmtId="177" fontId="9" fillId="0" borderId="30" xfId="3" applyNumberFormat="1" applyFont="1" applyBorder="1">
      <alignment vertical="center"/>
    </xf>
    <xf numFmtId="177" fontId="11" fillId="0" borderId="31" xfId="3" applyNumberFormat="1" applyFont="1" applyBorder="1">
      <alignment vertical="center"/>
    </xf>
    <xf numFmtId="41" fontId="11" fillId="4" borderId="15" xfId="4" applyFont="1" applyFill="1" applyBorder="1" applyAlignment="1">
      <alignment vertical="center"/>
    </xf>
    <xf numFmtId="41" fontId="11" fillId="4" borderId="17" xfId="1" applyFont="1" applyFill="1" applyBorder="1" applyAlignment="1">
      <alignment vertical="center"/>
    </xf>
    <xf numFmtId="41" fontId="11" fillId="4" borderId="33" xfId="1" applyFont="1" applyFill="1" applyBorder="1" applyAlignment="1">
      <alignment vertical="center"/>
    </xf>
    <xf numFmtId="0" fontId="13" fillId="0" borderId="0" xfId="3" applyFont="1">
      <alignment vertical="center"/>
    </xf>
    <xf numFmtId="0" fontId="13" fillId="0" borderId="0" xfId="3" applyFont="1" applyAlignment="1">
      <alignment horizontal="right" vertical="center"/>
    </xf>
    <xf numFmtId="0" fontId="11" fillId="0" borderId="0" xfId="3" applyFont="1">
      <alignment vertical="center"/>
    </xf>
    <xf numFmtId="0" fontId="13" fillId="0" borderId="5" xfId="3" applyFont="1" applyBorder="1">
      <alignment vertical="center"/>
    </xf>
    <xf numFmtId="0" fontId="9" fillId="0" borderId="5" xfId="3" applyFont="1" applyBorder="1">
      <alignment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0" fontId="10" fillId="2" borderId="43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49" fontId="9" fillId="0" borderId="43" xfId="6" applyNumberFormat="1" applyFont="1" applyBorder="1" applyAlignment="1">
      <alignment horizontal="center" vertical="center" wrapText="1"/>
    </xf>
    <xf numFmtId="49" fontId="9" fillId="0" borderId="26" xfId="6" applyNumberFormat="1" applyFont="1" applyBorder="1" applyAlignment="1">
      <alignment horizontal="center" vertical="center" wrapText="1"/>
    </xf>
    <xf numFmtId="182" fontId="9" fillId="0" borderId="43" xfId="6" applyNumberFormat="1" applyFont="1" applyBorder="1" applyAlignment="1">
      <alignment horizontal="right" vertical="center" wrapText="1"/>
    </xf>
    <xf numFmtId="0" fontId="9" fillId="0" borderId="43" xfId="7" applyFont="1" applyBorder="1" applyAlignment="1">
      <alignment horizontal="center" vertical="center"/>
    </xf>
    <xf numFmtId="0" fontId="9" fillId="0" borderId="26" xfId="7" applyFont="1" applyBorder="1" applyAlignment="1">
      <alignment horizontal="center"/>
    </xf>
    <xf numFmtId="9" fontId="9" fillId="0" borderId="43" xfId="8" applyFont="1" applyFill="1" applyBorder="1" applyAlignment="1">
      <alignment vertical="center" wrapText="1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3" fillId="0" borderId="0" xfId="7" applyFont="1" applyAlignment="1">
      <alignment horizontal="center"/>
    </xf>
    <xf numFmtId="0" fontId="25" fillId="0" borderId="0" xfId="7" applyFont="1" applyAlignment="1">
      <alignment vertical="center"/>
    </xf>
    <xf numFmtId="0" fontId="28" fillId="4" borderId="2" xfId="7" applyFont="1" applyFill="1" applyBorder="1" applyAlignment="1">
      <alignment horizontal="center" vertical="center"/>
    </xf>
    <xf numFmtId="0" fontId="28" fillId="4" borderId="55" xfId="7" applyFont="1" applyFill="1" applyBorder="1" applyAlignment="1">
      <alignment horizontal="center" vertical="center"/>
    </xf>
    <xf numFmtId="0" fontId="28" fillId="4" borderId="56" xfId="7" applyFont="1" applyFill="1" applyBorder="1" applyAlignment="1">
      <alignment horizontal="center" vertical="center"/>
    </xf>
    <xf numFmtId="0" fontId="28" fillId="4" borderId="6" xfId="7" applyFont="1" applyFill="1" applyBorder="1" applyAlignment="1">
      <alignment horizontal="center" vertical="center"/>
    </xf>
    <xf numFmtId="0" fontId="28" fillId="4" borderId="7" xfId="7" applyFont="1" applyFill="1" applyBorder="1" applyAlignment="1">
      <alignment horizontal="center" vertical="center"/>
    </xf>
    <xf numFmtId="0" fontId="28" fillId="0" borderId="0" xfId="7" applyFont="1" applyAlignment="1">
      <alignment vertical="center"/>
    </xf>
    <xf numFmtId="0" fontId="25" fillId="0" borderId="59" xfId="7" applyFont="1" applyBorder="1" applyAlignment="1">
      <alignment horizontal="center" vertical="center"/>
    </xf>
    <xf numFmtId="0" fontId="25" fillId="0" borderId="60" xfId="7" applyFont="1" applyBorder="1" applyAlignment="1">
      <alignment horizontal="center" vertical="center"/>
    </xf>
    <xf numFmtId="184" fontId="25" fillId="0" borderId="63" xfId="4" applyNumberFormat="1" applyFont="1" applyBorder="1" applyAlignment="1">
      <alignment horizontal="center" vertical="center"/>
    </xf>
    <xf numFmtId="42" fontId="25" fillId="0" borderId="63" xfId="4" applyNumberFormat="1" applyFont="1" applyBorder="1" applyAlignment="1">
      <alignment vertical="center"/>
    </xf>
    <xf numFmtId="41" fontId="25" fillId="0" borderId="64" xfId="7" applyNumberFormat="1" applyFont="1" applyBorder="1" applyAlignment="1">
      <alignment horizontal="center" vertical="center" wrapText="1"/>
    </xf>
    <xf numFmtId="0" fontId="25" fillId="0" borderId="65" xfId="7" applyFont="1" applyBorder="1" applyAlignment="1">
      <alignment horizontal="center" vertical="center"/>
    </xf>
    <xf numFmtId="0" fontId="25" fillId="0" borderId="17" xfId="7" applyFont="1" applyBorder="1" applyAlignment="1">
      <alignment horizontal="center" vertical="center"/>
    </xf>
    <xf numFmtId="184" fontId="25" fillId="0" borderId="17" xfId="4" applyNumberFormat="1" applyFont="1" applyBorder="1" applyAlignment="1">
      <alignment horizontal="center" vertical="center"/>
    </xf>
    <xf numFmtId="42" fontId="25" fillId="0" borderId="17" xfId="4" applyNumberFormat="1" applyFont="1" applyBorder="1" applyAlignment="1">
      <alignment horizontal="right" vertical="center"/>
    </xf>
    <xf numFmtId="41" fontId="25" fillId="0" borderId="18" xfId="7" applyNumberFormat="1" applyFont="1" applyBorder="1" applyAlignment="1">
      <alignment horizontal="center" vertical="center" wrapText="1"/>
    </xf>
    <xf numFmtId="0" fontId="25" fillId="0" borderId="22" xfId="7" applyFont="1" applyBorder="1" applyAlignment="1">
      <alignment horizontal="center" vertical="center" wrapText="1"/>
    </xf>
    <xf numFmtId="0" fontId="25" fillId="0" borderId="18" xfId="7" applyFont="1" applyBorder="1" applyAlignment="1">
      <alignment horizontal="center" vertical="center" wrapText="1"/>
    </xf>
    <xf numFmtId="38" fontId="25" fillId="0" borderId="0" xfId="7" applyNumberFormat="1" applyFont="1" applyAlignment="1">
      <alignment vertical="center"/>
    </xf>
    <xf numFmtId="0" fontId="36" fillId="0" borderId="0" xfId="7" applyFont="1" applyAlignment="1">
      <alignment vertical="center"/>
    </xf>
    <xf numFmtId="0" fontId="38" fillId="0" borderId="0" xfId="7" applyFont="1" applyAlignment="1">
      <alignment vertical="center"/>
    </xf>
    <xf numFmtId="41" fontId="38" fillId="0" borderId="0" xfId="4" applyFont="1" applyAlignment="1">
      <alignment horizontal="left" vertical="center"/>
    </xf>
    <xf numFmtId="41" fontId="38" fillId="0" borderId="0" xfId="4" applyFont="1" applyAlignment="1">
      <alignment vertical="center"/>
    </xf>
    <xf numFmtId="41" fontId="38" fillId="0" borderId="0" xfId="4" applyFont="1" applyBorder="1" applyAlignment="1">
      <alignment horizontal="left" vertical="center"/>
    </xf>
    <xf numFmtId="41" fontId="38" fillId="0" borderId="0" xfId="4" applyFont="1" applyBorder="1" applyAlignment="1">
      <alignment vertical="center"/>
    </xf>
    <xf numFmtId="0" fontId="36" fillId="0" borderId="0" xfId="7" applyFont="1" applyAlignment="1">
      <alignment horizontal="left" vertical="center"/>
    </xf>
    <xf numFmtId="41" fontId="36" fillId="0" borderId="0" xfId="4" applyFont="1" applyBorder="1" applyAlignment="1">
      <alignment horizontal="left" vertical="center"/>
    </xf>
    <xf numFmtId="0" fontId="39" fillId="0" borderId="0" xfId="12" applyFont="1" applyAlignment="1">
      <alignment vertical="center"/>
    </xf>
    <xf numFmtId="0" fontId="38" fillId="0" borderId="0" xfId="12" applyFont="1" applyAlignment="1">
      <alignment vertical="center"/>
    </xf>
    <xf numFmtId="0" fontId="36" fillId="0" borderId="0" xfId="12" applyFont="1" applyAlignment="1">
      <alignment vertical="center"/>
    </xf>
    <xf numFmtId="0" fontId="38" fillId="8" borderId="69" xfId="7" applyFont="1" applyFill="1" applyBorder="1" applyAlignment="1">
      <alignment horizontal="center" vertical="center"/>
    </xf>
    <xf numFmtId="0" fontId="38" fillId="8" borderId="70" xfId="7" applyFont="1" applyFill="1" applyBorder="1" applyAlignment="1">
      <alignment horizontal="center" vertical="center"/>
    </xf>
    <xf numFmtId="0" fontId="38" fillId="8" borderId="73" xfId="7" applyFont="1" applyFill="1" applyBorder="1" applyAlignment="1">
      <alignment horizontal="center" vertical="center"/>
    </xf>
    <xf numFmtId="0" fontId="38" fillId="0" borderId="47" xfId="7" applyFont="1" applyBorder="1" applyAlignment="1">
      <alignment horizontal="center" vertical="center"/>
    </xf>
    <xf numFmtId="0" fontId="38" fillId="0" borderId="43" xfId="7" applyFont="1" applyBorder="1" applyAlignment="1">
      <alignment horizontal="center" vertical="center"/>
    </xf>
    <xf numFmtId="3" fontId="38" fillId="0" borderId="43" xfId="10" applyNumberFormat="1" applyFont="1" applyBorder="1" applyAlignment="1">
      <alignment vertical="center"/>
    </xf>
    <xf numFmtId="3" fontId="38" fillId="0" borderId="43" xfId="10" applyNumberFormat="1" applyFont="1" applyBorder="1" applyAlignment="1">
      <alignment horizontal="center" vertical="center"/>
    </xf>
    <xf numFmtId="41" fontId="38" fillId="0" borderId="48" xfId="7" applyNumberFormat="1" applyFont="1" applyBorder="1" applyAlignment="1">
      <alignment horizontal="center" vertical="center" wrapText="1"/>
    </xf>
    <xf numFmtId="3" fontId="36" fillId="0" borderId="0" xfId="13" applyNumberFormat="1" applyFont="1" applyAlignment="1">
      <alignment vertical="center"/>
    </xf>
    <xf numFmtId="9" fontId="36" fillId="0" borderId="0" xfId="14" applyFont="1" applyAlignment="1">
      <alignment vertical="center"/>
    </xf>
    <xf numFmtId="3" fontId="36" fillId="0" borderId="0" xfId="7" applyNumberFormat="1" applyFont="1" applyAlignment="1">
      <alignment vertical="center"/>
    </xf>
    <xf numFmtId="9" fontId="36" fillId="0" borderId="0" xfId="7" applyNumberFormat="1" applyFont="1" applyAlignment="1">
      <alignment vertical="center"/>
    </xf>
    <xf numFmtId="0" fontId="36" fillId="0" borderId="47" xfId="7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0" fontId="36" fillId="0" borderId="43" xfId="7" applyFont="1" applyBorder="1" applyAlignment="1">
      <alignment vertical="center"/>
    </xf>
    <xf numFmtId="41" fontId="36" fillId="0" borderId="43" xfId="4" applyFont="1" applyBorder="1" applyAlignment="1">
      <alignment vertical="center"/>
    </xf>
    <xf numFmtId="41" fontId="36" fillId="0" borderId="23" xfId="4" applyFont="1" applyBorder="1" applyAlignment="1">
      <alignment horizontal="center" vertical="center"/>
    </xf>
    <xf numFmtId="41" fontId="36" fillId="0" borderId="26" xfId="4" applyFont="1" applyBorder="1" applyAlignment="1">
      <alignment horizontal="center" vertical="center"/>
    </xf>
    <xf numFmtId="0" fontId="36" fillId="0" borderId="48" xfId="7" applyFont="1" applyBorder="1" applyAlignment="1">
      <alignment vertical="center"/>
    </xf>
    <xf numFmtId="41" fontId="36" fillId="0" borderId="0" xfId="4" applyFont="1" applyAlignment="1">
      <alignment vertical="center"/>
    </xf>
    <xf numFmtId="43" fontId="36" fillId="0" borderId="0" xfId="7" applyNumberFormat="1" applyFont="1" applyAlignment="1">
      <alignment vertical="center"/>
    </xf>
    <xf numFmtId="186" fontId="36" fillId="0" borderId="0" xfId="7" applyNumberFormat="1" applyFont="1" applyAlignment="1">
      <alignment vertical="center"/>
    </xf>
    <xf numFmtId="0" fontId="36" fillId="0" borderId="43" xfId="15" applyFont="1" applyBorder="1" applyAlignment="1">
      <alignment horizontal="center" vertical="center"/>
    </xf>
    <xf numFmtId="0" fontId="36" fillId="0" borderId="43" xfId="15" applyFont="1" applyBorder="1">
      <alignment vertical="center"/>
    </xf>
    <xf numFmtId="0" fontId="38" fillId="0" borderId="43" xfId="7" applyFont="1" applyBorder="1" applyAlignment="1">
      <alignment vertical="center"/>
    </xf>
    <xf numFmtId="0" fontId="38" fillId="0" borderId="48" xfId="7" applyFont="1" applyBorder="1" applyAlignment="1">
      <alignment horizontal="center" vertical="center"/>
    </xf>
    <xf numFmtId="0" fontId="36" fillId="0" borderId="0" xfId="13" applyNumberFormat="1" applyFont="1" applyAlignment="1">
      <alignment vertical="center"/>
    </xf>
    <xf numFmtId="41" fontId="36" fillId="0" borderId="0" xfId="13" applyFont="1" applyAlignment="1">
      <alignment vertical="center"/>
    </xf>
    <xf numFmtId="0" fontId="40" fillId="0" borderId="0" xfId="13" applyNumberFormat="1" applyFont="1" applyAlignment="1">
      <alignment vertical="center"/>
    </xf>
    <xf numFmtId="0" fontId="38" fillId="5" borderId="67" xfId="7" applyFont="1" applyFill="1" applyBorder="1" applyAlignment="1">
      <alignment horizontal="center" vertical="center"/>
    </xf>
    <xf numFmtId="0" fontId="38" fillId="5" borderId="53" xfId="7" applyFont="1" applyFill="1" applyBorder="1" applyAlignment="1">
      <alignment vertical="center"/>
    </xf>
    <xf numFmtId="0" fontId="36" fillId="5" borderId="78" xfId="7" applyFont="1" applyFill="1" applyBorder="1" applyAlignment="1">
      <alignment horizontal="center" vertical="center"/>
    </xf>
    <xf numFmtId="0" fontId="40" fillId="0" borderId="0" xfId="7" applyFont="1" applyAlignment="1">
      <alignment vertical="center"/>
    </xf>
    <xf numFmtId="0" fontId="41" fillId="0" borderId="0" xfId="13" applyNumberFormat="1" applyFont="1" applyAlignment="1">
      <alignment vertical="center"/>
    </xf>
    <xf numFmtId="0" fontId="41" fillId="0" borderId="0" xfId="7" applyFont="1" applyAlignment="1">
      <alignment vertical="center"/>
    </xf>
    <xf numFmtId="0" fontId="36" fillId="0" borderId="0" xfId="7" quotePrefix="1" applyFont="1" applyAlignment="1">
      <alignment vertical="center"/>
    </xf>
    <xf numFmtId="0" fontId="40" fillId="0" borderId="0" xfId="7" quotePrefix="1" applyFont="1" applyAlignment="1">
      <alignment vertical="center"/>
    </xf>
    <xf numFmtId="0" fontId="36" fillId="0" borderId="0" xfId="7" applyFont="1" applyAlignment="1">
      <alignment horizontal="right" vertical="center"/>
    </xf>
    <xf numFmtId="0" fontId="34" fillId="0" borderId="43" xfId="11" applyFont="1" applyBorder="1" applyAlignment="1">
      <alignment horizontal="center" vertical="center"/>
    </xf>
    <xf numFmtId="38" fontId="35" fillId="0" borderId="43" xfId="4" applyNumberFormat="1" applyFont="1" applyBorder="1" applyAlignment="1">
      <alignment horizontal="right" vertical="center" wrapText="1"/>
    </xf>
    <xf numFmtId="38" fontId="35" fillId="0" borderId="43" xfId="7" applyNumberFormat="1" applyFont="1" applyBorder="1" applyAlignment="1">
      <alignment horizontal="right" vertical="center" wrapText="1"/>
    </xf>
    <xf numFmtId="0" fontId="22" fillId="0" borderId="43" xfId="0" applyFont="1" applyBorder="1" applyAlignment="1">
      <alignment horizontal="left" vertical="center"/>
    </xf>
    <xf numFmtId="41" fontId="36" fillId="0" borderId="0" xfId="7" applyNumberFormat="1" applyFont="1" applyAlignment="1">
      <alignment vertical="center"/>
    </xf>
    <xf numFmtId="0" fontId="34" fillId="0" borderId="43" xfId="20" applyFont="1" applyBorder="1" applyAlignment="1" applyProtection="1">
      <alignment vertical="center"/>
      <protection locked="0"/>
    </xf>
    <xf numFmtId="0" fontId="34" fillId="0" borderId="43" xfId="20" applyFont="1" applyBorder="1" applyAlignment="1" applyProtection="1">
      <alignment horizontal="center" vertical="center"/>
      <protection locked="0"/>
    </xf>
    <xf numFmtId="0" fontId="34" fillId="0" borderId="43" xfId="7" applyFont="1" applyBorder="1" applyAlignment="1" applyProtection="1">
      <alignment horizontal="left" vertical="top" wrapText="1"/>
      <protection locked="0"/>
    </xf>
    <xf numFmtId="0" fontId="34" fillId="0" borderId="43" xfId="16" applyFont="1" applyBorder="1" applyAlignment="1" applyProtection="1">
      <alignment horizontal="center" vertical="center"/>
      <protection locked="0"/>
    </xf>
    <xf numFmtId="0" fontId="46" fillId="0" borderId="0" xfId="11" applyFont="1" applyAlignment="1">
      <alignment horizontal="right"/>
    </xf>
    <xf numFmtId="0" fontId="47" fillId="9" borderId="45" xfId="0" applyFont="1" applyFill="1" applyBorder="1" applyAlignment="1">
      <alignment horizontal="center" vertical="center" wrapText="1"/>
    </xf>
    <xf numFmtId="0" fontId="47" fillId="9" borderId="45" xfId="0" applyFont="1" applyFill="1" applyBorder="1" applyAlignment="1">
      <alignment horizontal="center" vertical="center"/>
    </xf>
    <xf numFmtId="0" fontId="49" fillId="9" borderId="73" xfId="7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47" fillId="9" borderId="52" xfId="0" applyFont="1" applyFill="1" applyBorder="1" applyAlignment="1">
      <alignment horizontal="center" vertical="center"/>
    </xf>
    <xf numFmtId="0" fontId="47" fillId="9" borderId="54" xfId="0" applyFont="1" applyFill="1" applyBorder="1" applyAlignment="1">
      <alignment horizontal="center" vertical="center" wrapText="1"/>
    </xf>
    <xf numFmtId="0" fontId="18" fillId="0" borderId="43" xfId="0" applyFont="1" applyBorder="1" applyAlignment="1">
      <alignment vertical="center" wrapText="1"/>
    </xf>
    <xf numFmtId="0" fontId="34" fillId="0" borderId="43" xfId="16" applyFont="1" applyBorder="1" applyProtection="1">
      <alignment vertical="center"/>
      <protection locked="0"/>
    </xf>
    <xf numFmtId="0" fontId="34" fillId="0" borderId="43" xfId="16" applyFont="1" applyBorder="1" applyAlignment="1" applyProtection="1">
      <alignment vertical="center" wrapText="1"/>
      <protection locked="0"/>
    </xf>
    <xf numFmtId="0" fontId="32" fillId="0" borderId="43" xfId="7" applyFont="1" applyBorder="1" applyAlignment="1">
      <alignment horizontal="center" vertical="center" wrapText="1"/>
    </xf>
    <xf numFmtId="38" fontId="35" fillId="0" borderId="43" xfId="4" applyNumberFormat="1" applyFont="1" applyFill="1" applyBorder="1" applyAlignment="1">
      <alignment horizontal="right" vertical="center" wrapText="1"/>
    </xf>
    <xf numFmtId="0" fontId="36" fillId="0" borderId="0" xfId="7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0" fillId="9" borderId="43" xfId="7" applyFont="1" applyFill="1" applyBorder="1" applyAlignment="1">
      <alignment horizontal="center" vertical="center" wrapText="1"/>
    </xf>
    <xf numFmtId="3" fontId="52" fillId="0" borderId="43" xfId="10" applyNumberFormat="1" applyFont="1" applyBorder="1" applyAlignment="1">
      <alignment vertical="center"/>
    </xf>
    <xf numFmtId="0" fontId="18" fillId="0" borderId="43" xfId="0" applyFont="1" applyBorder="1">
      <alignment vertical="center"/>
    </xf>
    <xf numFmtId="0" fontId="47" fillId="9" borderId="43" xfId="0" applyFont="1" applyFill="1" applyBorder="1" applyAlignment="1">
      <alignment horizontal="center" vertical="center" wrapText="1"/>
    </xf>
    <xf numFmtId="0" fontId="47" fillId="9" borderId="43" xfId="0" applyFont="1" applyFill="1" applyBorder="1" applyAlignment="1">
      <alignment horizontal="center" vertical="center"/>
    </xf>
    <xf numFmtId="0" fontId="58" fillId="0" borderId="0" xfId="0" applyFont="1">
      <alignment vertical="center"/>
    </xf>
    <xf numFmtId="0" fontId="58" fillId="5" borderId="0" xfId="21" applyNumberFormat="1" applyFont="1" applyFill="1" applyBorder="1" applyAlignment="1">
      <alignment vertical="center"/>
    </xf>
    <xf numFmtId="0" fontId="59" fillId="5" borderId="0" xfId="21" applyNumberFormat="1" applyFont="1" applyFill="1" applyBorder="1" applyAlignment="1">
      <alignment vertical="center"/>
    </xf>
    <xf numFmtId="0" fontId="59" fillId="5" borderId="0" xfId="21" applyNumberFormat="1" applyFont="1" applyFill="1" applyBorder="1" applyAlignment="1">
      <alignment horizontal="right" vertical="center"/>
    </xf>
    <xf numFmtId="0" fontId="59" fillId="5" borderId="0" xfId="0" applyFont="1" applyFill="1">
      <alignment vertical="center"/>
    </xf>
    <xf numFmtId="0" fontId="58" fillId="5" borderId="0" xfId="0" applyFont="1" applyFill="1">
      <alignment vertical="center"/>
    </xf>
    <xf numFmtId="0" fontId="58" fillId="5" borderId="0" xfId="0" applyFont="1" applyFill="1" applyAlignment="1">
      <alignment horizontal="right" vertical="center"/>
    </xf>
    <xf numFmtId="0" fontId="61" fillId="10" borderId="84" xfId="23" applyNumberFormat="1" applyFont="1" applyFill="1" applyBorder="1" applyAlignment="1">
      <alignment horizontal="center" vertical="center" wrapText="1"/>
    </xf>
    <xf numFmtId="0" fontId="61" fillId="10" borderId="80" xfId="23" applyNumberFormat="1" applyFont="1" applyFill="1" applyBorder="1" applyAlignment="1">
      <alignment horizontal="center" vertical="center" wrapText="1"/>
    </xf>
    <xf numFmtId="0" fontId="62" fillId="0" borderId="43" xfId="0" applyFont="1" applyBorder="1">
      <alignment vertical="center"/>
    </xf>
    <xf numFmtId="9" fontId="63" fillId="0" borderId="43" xfId="0" applyNumberFormat="1" applyFont="1" applyBorder="1" applyAlignment="1">
      <alignment vertical="center" wrapText="1"/>
    </xf>
    <xf numFmtId="0" fontId="58" fillId="0" borderId="43" xfId="1" applyNumberFormat="1" applyFont="1" applyFill="1" applyBorder="1" applyAlignment="1">
      <alignment vertical="center" wrapText="1"/>
    </xf>
    <xf numFmtId="0" fontId="58" fillId="0" borderId="43" xfId="1" applyNumberFormat="1" applyFont="1" applyFill="1" applyBorder="1" applyAlignment="1">
      <alignment horizontal="center" vertical="center" wrapText="1"/>
    </xf>
    <xf numFmtId="41" fontId="58" fillId="0" borderId="43" xfId="1" applyFont="1" applyFill="1" applyBorder="1" applyAlignment="1">
      <alignment vertical="center" wrapText="1"/>
    </xf>
    <xf numFmtId="187" fontId="58" fillId="0" borderId="43" xfId="1" applyNumberFormat="1" applyFont="1" applyFill="1" applyBorder="1" applyAlignment="1">
      <alignment horizontal="center" vertical="center" wrapText="1"/>
    </xf>
    <xf numFmtId="9" fontId="58" fillId="0" borderId="43" xfId="26" applyNumberFormat="1" applyFont="1" applyFill="1" applyBorder="1" applyAlignment="1">
      <alignment horizontal="center" vertical="center" wrapText="1"/>
    </xf>
    <xf numFmtId="41" fontId="58" fillId="0" borderId="48" xfId="1" applyFont="1" applyFill="1" applyBorder="1" applyAlignment="1">
      <alignment vertical="center"/>
    </xf>
    <xf numFmtId="0" fontId="58" fillId="0" borderId="52" xfId="1" applyNumberFormat="1" applyFont="1" applyFill="1" applyBorder="1" applyAlignment="1">
      <alignment vertical="center" wrapText="1"/>
    </xf>
    <xf numFmtId="0" fontId="58" fillId="0" borderId="52" xfId="1" applyNumberFormat="1" applyFont="1" applyFill="1" applyBorder="1" applyAlignment="1">
      <alignment horizontal="center" vertical="center" wrapText="1"/>
    </xf>
    <xf numFmtId="187" fontId="58" fillId="0" borderId="52" xfId="1" applyNumberFormat="1" applyFont="1" applyFill="1" applyBorder="1" applyAlignment="1">
      <alignment horizontal="center" vertical="center" wrapText="1"/>
    </xf>
    <xf numFmtId="9" fontId="58" fillId="0" borderId="52" xfId="26" applyNumberFormat="1" applyFont="1" applyFill="1" applyBorder="1" applyAlignment="1">
      <alignment horizontal="center" vertical="center" wrapText="1"/>
    </xf>
    <xf numFmtId="0" fontId="58" fillId="0" borderId="50" xfId="1" applyNumberFormat="1" applyFont="1" applyFill="1" applyBorder="1" applyAlignment="1">
      <alignment vertical="center" wrapText="1"/>
    </xf>
    <xf numFmtId="0" fontId="58" fillId="0" borderId="50" xfId="1" applyNumberFormat="1" applyFont="1" applyFill="1" applyBorder="1" applyAlignment="1">
      <alignment horizontal="center" vertical="center" wrapText="1"/>
    </xf>
    <xf numFmtId="41" fontId="58" fillId="0" borderId="50" xfId="1" applyFont="1" applyFill="1" applyBorder="1" applyAlignment="1">
      <alignment vertical="center" wrapText="1"/>
    </xf>
    <xf numFmtId="187" fontId="58" fillId="0" borderId="50" xfId="1" applyNumberFormat="1" applyFont="1" applyFill="1" applyBorder="1" applyAlignment="1">
      <alignment horizontal="center" vertical="center" wrapText="1"/>
    </xf>
    <xf numFmtId="9" fontId="58" fillId="0" borderId="50" xfId="26" applyNumberFormat="1" applyFont="1" applyFill="1" applyBorder="1" applyAlignment="1">
      <alignment horizontal="center" vertical="center" wrapText="1"/>
    </xf>
    <xf numFmtId="41" fontId="58" fillId="0" borderId="51" xfId="1" applyFont="1" applyFill="1" applyBorder="1" applyAlignment="1">
      <alignment vertical="center"/>
    </xf>
    <xf numFmtId="0" fontId="58" fillId="0" borderId="87" xfId="1" applyNumberFormat="1" applyFont="1" applyFill="1" applyBorder="1" applyAlignment="1">
      <alignment horizontal="center" vertical="center" wrapText="1"/>
    </xf>
    <xf numFmtId="0" fontId="61" fillId="10" borderId="47" xfId="22" applyNumberFormat="1" applyFont="1" applyFill="1" applyBorder="1" applyAlignment="1">
      <alignment horizontal="center" vertical="center"/>
    </xf>
    <xf numFmtId="9" fontId="61" fillId="10" borderId="43" xfId="22" applyNumberFormat="1" applyFont="1" applyFill="1" applyBorder="1" applyAlignment="1">
      <alignment horizontal="center" vertical="center"/>
    </xf>
    <xf numFmtId="41" fontId="58" fillId="0" borderId="0" xfId="1" applyFont="1" applyFill="1" applyBorder="1">
      <alignment vertical="center"/>
    </xf>
    <xf numFmtId="41" fontId="58" fillId="0" borderId="0" xfId="0" applyNumberFormat="1" applyFont="1">
      <alignment vertical="center"/>
    </xf>
    <xf numFmtId="41" fontId="65" fillId="8" borderId="44" xfId="24" applyNumberFormat="1" applyFont="1" applyFill="1" applyBorder="1" applyAlignment="1">
      <alignment horizontal="center" vertical="center"/>
    </xf>
    <xf numFmtId="41" fontId="65" fillId="8" borderId="45" xfId="24" applyNumberFormat="1" applyFont="1" applyFill="1" applyBorder="1" applyAlignment="1">
      <alignment horizontal="center" vertical="center" wrapText="1"/>
    </xf>
    <xf numFmtId="41" fontId="65" fillId="8" borderId="90" xfId="24" applyNumberFormat="1" applyFont="1" applyFill="1" applyBorder="1" applyAlignment="1">
      <alignment horizontal="center" vertical="center" wrapText="1"/>
    </xf>
    <xf numFmtId="41" fontId="65" fillId="8" borderId="46" xfId="24" applyNumberFormat="1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/>
    </xf>
    <xf numFmtId="41" fontId="34" fillId="0" borderId="43" xfId="1" applyFont="1" applyFill="1" applyBorder="1" applyAlignment="1">
      <alignment vertical="center"/>
    </xf>
    <xf numFmtId="41" fontId="34" fillId="0" borderId="23" xfId="1" applyFont="1" applyFill="1" applyBorder="1" applyAlignment="1">
      <alignment vertical="center"/>
    </xf>
    <xf numFmtId="41" fontId="34" fillId="0" borderId="48" xfId="1" applyFont="1" applyFill="1" applyBorder="1" applyAlignment="1">
      <alignment vertical="center"/>
    </xf>
    <xf numFmtId="0" fontId="34" fillId="0" borderId="49" xfId="0" applyFont="1" applyBorder="1" applyAlignment="1">
      <alignment horizontal="left" vertical="center"/>
    </xf>
    <xf numFmtId="41" fontId="34" fillId="0" borderId="50" xfId="1" applyFont="1" applyFill="1" applyBorder="1" applyAlignment="1">
      <alignment vertical="center"/>
    </xf>
    <xf numFmtId="41" fontId="34" fillId="0" borderId="91" xfId="1" applyFont="1" applyFill="1" applyBorder="1" applyAlignment="1">
      <alignment vertical="center"/>
    </xf>
    <xf numFmtId="41" fontId="34" fillId="0" borderId="51" xfId="1" applyFont="1" applyFill="1" applyBorder="1" applyAlignment="1">
      <alignment vertical="center"/>
    </xf>
    <xf numFmtId="41" fontId="66" fillId="0" borderId="0" xfId="24" applyNumberFormat="1" applyFont="1" applyFill="1" applyBorder="1" applyAlignment="1">
      <alignment horizontal="centerContinuous" vertical="distributed"/>
    </xf>
    <xf numFmtId="41" fontId="67" fillId="0" borderId="0" xfId="24" applyNumberFormat="1" applyFont="1" applyFill="1" applyBorder="1" applyAlignment="1">
      <alignment horizontal="centerContinuous" vertical="distributed"/>
    </xf>
    <xf numFmtId="0" fontId="34" fillId="0" borderId="0" xfId="0" applyFont="1">
      <alignment vertical="center"/>
    </xf>
    <xf numFmtId="41" fontId="34" fillId="0" borderId="0" xfId="24" applyNumberFormat="1" applyFont="1" applyFill="1" applyBorder="1" applyAlignment="1">
      <alignment vertical="center"/>
    </xf>
    <xf numFmtId="0" fontId="34" fillId="0" borderId="0" xfId="25" applyNumberFormat="1" applyFont="1" applyFill="1" applyBorder="1" applyAlignment="1">
      <alignment vertical="center"/>
    </xf>
    <xf numFmtId="0" fontId="65" fillId="8" borderId="45" xfId="25" applyNumberFormat="1" applyFont="1" applyFill="1" applyBorder="1" applyAlignment="1">
      <alignment horizontal="center" vertical="center" wrapText="1"/>
    </xf>
    <xf numFmtId="41" fontId="34" fillId="0" borderId="48" xfId="1" applyFont="1" applyFill="1" applyBorder="1" applyAlignment="1">
      <alignment vertical="center" wrapText="1"/>
    </xf>
    <xf numFmtId="41" fontId="34" fillId="0" borderId="51" xfId="1" applyFont="1" applyFill="1" applyBorder="1" applyAlignment="1">
      <alignment vertical="center" wrapText="1"/>
    </xf>
    <xf numFmtId="0" fontId="22" fillId="0" borderId="0" xfId="0" applyFont="1">
      <alignment vertical="center"/>
    </xf>
    <xf numFmtId="0" fontId="69" fillId="0" borderId="1" xfId="0" applyFont="1" applyBorder="1" applyAlignment="1">
      <alignment horizontal="center" vertical="center"/>
    </xf>
    <xf numFmtId="0" fontId="70" fillId="0" borderId="0" xfId="0" applyFont="1" applyAlignment="1">
      <alignment horizontal="right" vertical="center"/>
    </xf>
    <xf numFmtId="0" fontId="71" fillId="11" borderId="92" xfId="0" applyFont="1" applyFill="1" applyBorder="1" applyAlignment="1">
      <alignment horizontal="center" vertical="center" wrapText="1"/>
    </xf>
    <xf numFmtId="0" fontId="72" fillId="0" borderId="92" xfId="0" applyFont="1" applyBorder="1" applyAlignment="1">
      <alignment horizontal="center" vertical="center" wrapText="1"/>
    </xf>
    <xf numFmtId="0" fontId="72" fillId="12" borderId="92" xfId="0" applyFont="1" applyFill="1" applyBorder="1" applyAlignment="1">
      <alignment horizontal="center" vertical="center" wrapText="1"/>
    </xf>
    <xf numFmtId="0" fontId="72" fillId="0" borderId="92" xfId="0" applyFont="1" applyBorder="1" applyAlignment="1">
      <alignment horizontal="justify" vertical="center" wrapText="1"/>
    </xf>
    <xf numFmtId="0" fontId="72" fillId="0" borderId="43" xfId="0" applyFont="1" applyBorder="1" applyAlignment="1">
      <alignment horizontal="center" vertical="center" wrapText="1"/>
    </xf>
    <xf numFmtId="0" fontId="72" fillId="0" borderId="96" xfId="0" applyFont="1" applyBorder="1" applyAlignment="1">
      <alignment horizontal="justify" vertical="center" wrapText="1"/>
    </xf>
    <xf numFmtId="0" fontId="75" fillId="0" borderId="97" xfId="0" applyFont="1" applyBorder="1" applyAlignment="1">
      <alignment horizontal="justify" vertical="center" wrapText="1"/>
    </xf>
    <xf numFmtId="0" fontId="72" fillId="0" borderId="93" xfId="0" applyFont="1" applyBorder="1" applyAlignment="1">
      <alignment horizontal="center" vertical="center" wrapText="1"/>
    </xf>
    <xf numFmtId="0" fontId="72" fillId="0" borderId="52" xfId="0" applyFont="1" applyBorder="1" applyAlignment="1">
      <alignment horizontal="center" vertical="center" wrapText="1"/>
    </xf>
    <xf numFmtId="0" fontId="72" fillId="0" borderId="93" xfId="0" applyFont="1" applyBorder="1" applyAlignment="1">
      <alignment horizontal="justify" vertical="center" wrapText="1"/>
    </xf>
    <xf numFmtId="0" fontId="72" fillId="12" borderId="93" xfId="0" applyFont="1" applyFill="1" applyBorder="1" applyAlignment="1">
      <alignment horizontal="center" vertical="center" wrapText="1"/>
    </xf>
    <xf numFmtId="0" fontId="72" fillId="5" borderId="43" xfId="0" applyFont="1" applyFill="1" applyBorder="1" applyAlignment="1">
      <alignment horizontal="center" vertical="center" wrapText="1"/>
    </xf>
    <xf numFmtId="0" fontId="76" fillId="0" borderId="97" xfId="0" applyFont="1" applyBorder="1" applyAlignment="1">
      <alignment horizontal="justify" vertical="center" wrapText="1"/>
    </xf>
    <xf numFmtId="0" fontId="72" fillId="0" borderId="99" xfId="0" applyFont="1" applyBorder="1" applyAlignment="1">
      <alignment horizontal="justify" vertical="center" wrapText="1"/>
    </xf>
    <xf numFmtId="0" fontId="70" fillId="0" borderId="43" xfId="0" applyFont="1" applyBorder="1" applyAlignment="1">
      <alignment horizontal="center" vertical="center" wrapText="1"/>
    </xf>
    <xf numFmtId="0" fontId="70" fillId="0" borderId="4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70" fillId="0" borderId="0" xfId="0" applyFont="1">
      <alignment vertical="center"/>
    </xf>
    <xf numFmtId="188" fontId="9" fillId="3" borderId="24" xfId="4" applyNumberFormat="1" applyFont="1" applyFill="1" applyBorder="1" applyAlignment="1" applyProtection="1">
      <alignment horizontal="center" vertical="center"/>
      <protection locked="0"/>
    </xf>
    <xf numFmtId="0" fontId="36" fillId="0" borderId="0" xfId="7" applyFont="1" applyAlignment="1">
      <alignment horizontal="left" vertical="center"/>
    </xf>
    <xf numFmtId="0" fontId="38" fillId="5" borderId="75" xfId="7" applyFont="1" applyFill="1" applyBorder="1" applyAlignment="1">
      <alignment horizontal="center" vertical="center"/>
    </xf>
    <xf numFmtId="0" fontId="38" fillId="5" borderId="76" xfId="7" applyFont="1" applyFill="1" applyBorder="1" applyAlignment="1">
      <alignment horizontal="center" vertical="center"/>
    </xf>
    <xf numFmtId="41" fontId="38" fillId="5" borderId="77" xfId="4" applyFont="1" applyFill="1" applyBorder="1" applyAlignment="1">
      <alignment horizontal="center" vertical="center"/>
    </xf>
    <xf numFmtId="41" fontId="38" fillId="5" borderId="76" xfId="4" applyFont="1" applyFill="1" applyBorder="1" applyAlignment="1">
      <alignment horizontal="center" vertical="center"/>
    </xf>
    <xf numFmtId="0" fontId="48" fillId="9" borderId="79" xfId="15" applyFont="1" applyFill="1" applyBorder="1" applyAlignment="1">
      <alignment horizontal="center" vertical="center"/>
    </xf>
    <xf numFmtId="0" fontId="36" fillId="0" borderId="74" xfId="7" applyFont="1" applyBorder="1" applyAlignment="1">
      <alignment horizontal="center" vertical="center"/>
    </xf>
    <xf numFmtId="0" fontId="36" fillId="0" borderId="26" xfId="7" applyFont="1" applyBorder="1" applyAlignment="1">
      <alignment horizontal="center" vertical="center"/>
    </xf>
    <xf numFmtId="41" fontId="36" fillId="0" borderId="23" xfId="4" applyFont="1" applyBorder="1" applyAlignment="1">
      <alignment horizontal="center" vertical="center"/>
    </xf>
    <xf numFmtId="41" fontId="36" fillId="0" borderId="26" xfId="4" applyFont="1" applyBorder="1" applyAlignment="1">
      <alignment horizontal="center" vertical="center"/>
    </xf>
    <xf numFmtId="0" fontId="38" fillId="0" borderId="74" xfId="7" applyFont="1" applyBorder="1" applyAlignment="1">
      <alignment horizontal="center" vertical="center"/>
    </xf>
    <xf numFmtId="0" fontId="38" fillId="0" borderId="26" xfId="7" applyFont="1" applyBorder="1" applyAlignment="1">
      <alignment horizontal="center" vertical="center"/>
    </xf>
    <xf numFmtId="41" fontId="38" fillId="0" borderId="23" xfId="4" applyFont="1" applyBorder="1" applyAlignment="1">
      <alignment horizontal="center" vertical="center"/>
    </xf>
    <xf numFmtId="41" fontId="38" fillId="0" borderId="26" xfId="4" applyFont="1" applyBorder="1" applyAlignment="1">
      <alignment horizontal="center" vertical="center"/>
    </xf>
    <xf numFmtId="42" fontId="38" fillId="0" borderId="43" xfId="4" applyNumberFormat="1" applyFont="1" applyBorder="1" applyAlignment="1">
      <alignment horizontal="center" vertical="center"/>
    </xf>
    <xf numFmtId="0" fontId="37" fillId="0" borderId="0" xfId="7" applyFont="1" applyAlignment="1">
      <alignment horizontal="center" vertical="center"/>
    </xf>
    <xf numFmtId="185" fontId="38" fillId="0" borderId="0" xfId="7" applyNumberFormat="1" applyFont="1" applyAlignment="1">
      <alignment horizontal="left" vertical="center"/>
    </xf>
    <xf numFmtId="0" fontId="38" fillId="8" borderId="71" xfId="7" applyFont="1" applyFill="1" applyBorder="1" applyAlignment="1">
      <alignment horizontal="center" vertical="center"/>
    </xf>
    <xf numFmtId="0" fontId="38" fillId="8" borderId="72" xfId="7" applyFont="1" applyFill="1" applyBorder="1" applyAlignment="1">
      <alignment horizontal="center" vertical="center"/>
    </xf>
    <xf numFmtId="42" fontId="52" fillId="0" borderId="43" xfId="4" applyNumberFormat="1" applyFont="1" applyBorder="1" applyAlignment="1">
      <alignment horizontal="center" vertical="center"/>
    </xf>
    <xf numFmtId="38" fontId="35" fillId="0" borderId="43" xfId="4" applyNumberFormat="1" applyFont="1" applyFill="1" applyBorder="1" applyAlignment="1">
      <alignment horizontal="right" vertical="center" wrapText="1"/>
    </xf>
    <xf numFmtId="38" fontId="35" fillId="0" borderId="43" xfId="7" applyNumberFormat="1" applyFont="1" applyBorder="1" applyAlignment="1">
      <alignment horizontal="right" vertical="center" wrapText="1"/>
    </xf>
    <xf numFmtId="3" fontId="33" fillId="0" borderId="43" xfId="10" applyNumberFormat="1" applyFont="1" applyFill="1" applyBorder="1" applyAlignment="1">
      <alignment horizontal="left" vertical="center" wrapText="1"/>
    </xf>
    <xf numFmtId="3" fontId="33" fillId="0" borderId="43" xfId="10" applyNumberFormat="1" applyFont="1" applyFill="1" applyBorder="1" applyAlignment="1">
      <alignment horizontal="left" vertical="center"/>
    </xf>
    <xf numFmtId="3" fontId="33" fillId="0" borderId="43" xfId="10" applyNumberFormat="1" applyFont="1" applyBorder="1" applyAlignment="1">
      <alignment horizontal="left" vertical="center" wrapText="1"/>
    </xf>
    <xf numFmtId="0" fontId="51" fillId="9" borderId="43" xfId="7" applyFont="1" applyFill="1" applyBorder="1" applyAlignment="1">
      <alignment horizontal="center" vertical="center" wrapText="1"/>
    </xf>
    <xf numFmtId="3" fontId="33" fillId="0" borderId="43" xfId="10" applyNumberFormat="1" applyFont="1" applyBorder="1" applyAlignment="1">
      <alignment horizontal="left" vertical="center"/>
    </xf>
    <xf numFmtId="0" fontId="32" fillId="0" borderId="43" xfId="7" applyFont="1" applyBorder="1" applyAlignment="1">
      <alignment horizontal="center" vertical="center" wrapText="1"/>
    </xf>
    <xf numFmtId="0" fontId="34" fillId="0" borderId="43" xfId="11" applyFont="1" applyBorder="1" applyAlignment="1">
      <alignment horizontal="center" vertical="center"/>
    </xf>
    <xf numFmtId="0" fontId="50" fillId="0" borderId="52" xfId="7" applyFont="1" applyBorder="1" applyAlignment="1">
      <alignment horizontal="center" vertical="center" wrapText="1"/>
    </xf>
    <xf numFmtId="0" fontId="50" fillId="0" borderId="53" xfId="7" applyFont="1" applyBorder="1" applyAlignment="1">
      <alignment horizontal="center" vertical="center" wrapText="1"/>
    </xf>
    <xf numFmtId="0" fontId="50" fillId="0" borderId="68" xfId="7" applyFont="1" applyBorder="1" applyAlignment="1">
      <alignment horizontal="center" vertical="center" wrapText="1"/>
    </xf>
    <xf numFmtId="0" fontId="25" fillId="0" borderId="19" xfId="7" applyFont="1" applyBorder="1" applyAlignment="1">
      <alignment horizontal="center" vertical="center"/>
    </xf>
    <xf numFmtId="0" fontId="25" fillId="0" borderId="1" xfId="7" applyFont="1" applyBorder="1" applyAlignment="1">
      <alignment horizontal="center" vertical="center"/>
    </xf>
    <xf numFmtId="0" fontId="25" fillId="0" borderId="20" xfId="7" applyFont="1" applyBorder="1" applyAlignment="1">
      <alignment horizontal="center" vertical="center"/>
    </xf>
    <xf numFmtId="42" fontId="30" fillId="0" borderId="66" xfId="11" applyNumberFormat="1" applyFont="1" applyBorder="1" applyAlignment="1">
      <alignment horizontal="center" vertical="center"/>
    </xf>
    <xf numFmtId="42" fontId="30" fillId="0" borderId="20" xfId="11" applyNumberFormat="1" applyFont="1" applyBorder="1" applyAlignment="1">
      <alignment horizontal="center" vertical="center"/>
    </xf>
    <xf numFmtId="0" fontId="23" fillId="0" borderId="0" xfId="7" applyFont="1" applyAlignment="1">
      <alignment horizontal="center"/>
    </xf>
    <xf numFmtId="41" fontId="27" fillId="0" borderId="1" xfId="9" applyFont="1" applyBorder="1" applyAlignment="1">
      <alignment horizontal="left" vertical="center"/>
    </xf>
    <xf numFmtId="0" fontId="28" fillId="4" borderId="57" xfId="7" applyFont="1" applyFill="1" applyBorder="1" applyAlignment="1">
      <alignment horizontal="center" vertical="center"/>
    </xf>
    <xf numFmtId="0" fontId="28" fillId="4" borderId="56" xfId="7" applyFont="1" applyFill="1" applyBorder="1" applyAlignment="1">
      <alignment horizontal="center" vertical="center"/>
    </xf>
    <xf numFmtId="0" fontId="28" fillId="4" borderId="58" xfId="7" applyFont="1" applyFill="1" applyBorder="1" applyAlignment="1">
      <alignment horizontal="center" vertical="center"/>
    </xf>
    <xf numFmtId="3" fontId="25" fillId="0" borderId="60" xfId="10" applyNumberFormat="1" applyFont="1" applyBorder="1" applyAlignment="1">
      <alignment horizontal="center" vertical="center"/>
    </xf>
    <xf numFmtId="3" fontId="25" fillId="0" borderId="61" xfId="10" applyNumberFormat="1" applyFont="1" applyBorder="1" applyAlignment="1">
      <alignment horizontal="center" vertical="center"/>
    </xf>
    <xf numFmtId="3" fontId="25" fillId="0" borderId="62" xfId="10" applyNumberFormat="1" applyFont="1" applyBorder="1" applyAlignment="1">
      <alignment horizontal="center" vertical="center"/>
    </xf>
    <xf numFmtId="3" fontId="25" fillId="0" borderId="16" xfId="10" applyNumberFormat="1" applyFont="1" applyBorder="1" applyAlignment="1">
      <alignment horizontal="center" vertical="center"/>
    </xf>
    <xf numFmtId="3" fontId="25" fillId="0" borderId="32" xfId="10" applyNumberFormat="1" applyFont="1" applyBorder="1" applyAlignment="1">
      <alignment horizontal="center" vertical="center"/>
    </xf>
    <xf numFmtId="3" fontId="25" fillId="0" borderId="15" xfId="10" applyNumberFormat="1" applyFont="1" applyBorder="1" applyAlignment="1">
      <alignment horizontal="center" vertical="center"/>
    </xf>
    <xf numFmtId="42" fontId="30" fillId="0" borderId="16" xfId="11" applyNumberFormat="1" applyFont="1" applyBorder="1" applyAlignment="1">
      <alignment horizontal="center" vertical="center"/>
    </xf>
    <xf numFmtId="42" fontId="30" fillId="0" borderId="15" xfId="11" applyNumberFormat="1" applyFont="1" applyBorder="1" applyAlignment="1">
      <alignment horizontal="center" vertical="center"/>
    </xf>
    <xf numFmtId="9" fontId="9" fillId="6" borderId="23" xfId="2" applyFont="1" applyFill="1" applyBorder="1" applyAlignment="1">
      <alignment horizontal="center" vertical="center" wrapText="1"/>
    </xf>
    <xf numFmtId="9" fontId="9" fillId="6" borderId="24" xfId="2" applyFont="1" applyFill="1" applyBorder="1" applyAlignment="1">
      <alignment horizontal="center" vertical="center" wrapText="1"/>
    </xf>
    <xf numFmtId="9" fontId="9" fillId="6" borderId="26" xfId="2" applyFont="1" applyFill="1" applyBorder="1" applyAlignment="1">
      <alignment horizontal="center" vertical="center" wrapText="1"/>
    </xf>
    <xf numFmtId="0" fontId="11" fillId="0" borderId="14" xfId="3" applyFont="1" applyBorder="1" applyAlignment="1">
      <alignment horizontal="center" vertical="center"/>
    </xf>
    <xf numFmtId="0" fontId="11" fillId="0" borderId="15" xfId="3" applyFont="1" applyBorder="1" applyAlignment="1">
      <alignment horizontal="center" vertical="center"/>
    </xf>
    <xf numFmtId="0" fontId="11" fillId="0" borderId="16" xfId="3" applyFont="1" applyBorder="1" applyAlignment="1">
      <alignment horizontal="left" vertical="center" wrapText="1"/>
    </xf>
    <xf numFmtId="0" fontId="11" fillId="0" borderId="32" xfId="3" applyFont="1" applyBorder="1" applyAlignment="1">
      <alignment horizontal="left" vertical="center" wrapText="1"/>
    </xf>
    <xf numFmtId="0" fontId="11" fillId="0" borderId="15" xfId="3" applyFont="1" applyBorder="1" applyAlignment="1">
      <alignment horizontal="left" vertical="center" wrapText="1"/>
    </xf>
    <xf numFmtId="179" fontId="11" fillId="0" borderId="16" xfId="3" applyNumberFormat="1" applyFont="1" applyBorder="1" applyAlignment="1">
      <alignment horizontal="center" vertical="center"/>
    </xf>
    <xf numFmtId="179" fontId="11" fillId="0" borderId="33" xfId="3" applyNumberFormat="1" applyFont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182" fontId="9" fillId="6" borderId="23" xfId="6" applyNumberFormat="1" applyFont="1" applyFill="1" applyBorder="1" applyAlignment="1">
      <alignment horizontal="center" vertical="center" wrapText="1"/>
    </xf>
    <xf numFmtId="182" fontId="9" fillId="6" borderId="24" xfId="6" applyNumberFormat="1" applyFont="1" applyFill="1" applyBorder="1" applyAlignment="1">
      <alignment horizontal="center" vertical="center" wrapText="1"/>
    </xf>
    <xf numFmtId="182" fontId="9" fillId="6" borderId="26" xfId="6" applyNumberFormat="1" applyFont="1" applyFill="1" applyBorder="1" applyAlignment="1">
      <alignment horizontal="center" vertical="center" wrapText="1"/>
    </xf>
    <xf numFmtId="183" fontId="9" fillId="6" borderId="23" xfId="6" applyNumberFormat="1" applyFont="1" applyFill="1" applyBorder="1" applyAlignment="1">
      <alignment horizontal="center" vertical="center" wrapText="1"/>
    </xf>
    <xf numFmtId="183" fontId="9" fillId="6" borderId="24" xfId="6" applyNumberFormat="1" applyFont="1" applyFill="1" applyBorder="1" applyAlignment="1">
      <alignment horizontal="center" vertical="center" wrapText="1"/>
    </xf>
    <xf numFmtId="183" fontId="9" fillId="6" borderId="26" xfId="6" applyNumberFormat="1" applyFont="1" applyFill="1" applyBorder="1" applyAlignment="1">
      <alignment horizontal="center" vertical="center" wrapText="1"/>
    </xf>
    <xf numFmtId="0" fontId="11" fillId="0" borderId="40" xfId="3" applyFont="1" applyBorder="1" applyAlignment="1">
      <alignment horizontal="center" vertical="center"/>
    </xf>
    <xf numFmtId="0" fontId="11" fillId="0" borderId="41" xfId="3" applyFont="1" applyBorder="1" applyAlignment="1">
      <alignment horizontal="center" vertical="center"/>
    </xf>
    <xf numFmtId="0" fontId="11" fillId="0" borderId="37" xfId="3" applyFont="1" applyBorder="1" applyAlignment="1">
      <alignment horizontal="left" vertical="center" wrapText="1"/>
    </xf>
    <xf numFmtId="0" fontId="11" fillId="0" borderId="42" xfId="3" applyFont="1" applyBorder="1" applyAlignment="1">
      <alignment horizontal="left" vertical="center" wrapText="1"/>
    </xf>
    <xf numFmtId="0" fontId="11" fillId="0" borderId="41" xfId="3" applyFont="1" applyBorder="1" applyAlignment="1">
      <alignment horizontal="left" vertical="center" wrapText="1"/>
    </xf>
    <xf numFmtId="179" fontId="11" fillId="0" borderId="37" xfId="3" applyNumberFormat="1" applyFont="1" applyBorder="1" applyAlignment="1">
      <alignment horizontal="center" vertical="center"/>
    </xf>
    <xf numFmtId="179" fontId="11" fillId="0" borderId="38" xfId="3" applyNumberFormat="1" applyFont="1" applyBorder="1" applyAlignment="1">
      <alignment horizontal="center" vertical="center"/>
    </xf>
    <xf numFmtId="0" fontId="11" fillId="0" borderId="37" xfId="3" applyFont="1" applyBorder="1" applyAlignment="1">
      <alignment horizontal="center" vertical="center" wrapText="1"/>
    </xf>
    <xf numFmtId="0" fontId="11" fillId="0" borderId="42" xfId="3" applyFont="1" applyBorder="1" applyAlignment="1">
      <alignment horizontal="center" vertical="center"/>
    </xf>
    <xf numFmtId="178" fontId="11" fillId="0" borderId="37" xfId="3" applyNumberFormat="1" applyFont="1" applyBorder="1" applyAlignment="1">
      <alignment horizontal="center" vertical="center"/>
    </xf>
    <xf numFmtId="178" fontId="11" fillId="0" borderId="38" xfId="3" applyNumberFormat="1" applyFont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center" shrinkToFit="1"/>
    </xf>
    <xf numFmtId="0" fontId="10" fillId="2" borderId="5" xfId="3" applyFont="1" applyFill="1" applyBorder="1" applyAlignment="1">
      <alignment horizontal="center" vertical="center" shrinkToFit="1"/>
    </xf>
    <xf numFmtId="0" fontId="10" fillId="2" borderId="5" xfId="3" applyFont="1" applyFill="1" applyBorder="1" applyAlignment="1">
      <alignment horizontal="center" vertical="center"/>
    </xf>
    <xf numFmtId="0" fontId="10" fillId="2" borderId="39" xfId="3" applyFont="1" applyFill="1" applyBorder="1" applyAlignment="1">
      <alignment horizontal="center" vertical="center"/>
    </xf>
    <xf numFmtId="0" fontId="11" fillId="4" borderId="14" xfId="5" applyFont="1" applyFill="1" applyBorder="1" applyAlignment="1">
      <alignment horizontal="center" vertical="center"/>
    </xf>
    <xf numFmtId="0" fontId="11" fillId="4" borderId="32" xfId="5" applyFont="1" applyFill="1" applyBorder="1" applyAlignment="1">
      <alignment horizontal="center" vertical="center"/>
    </xf>
    <xf numFmtId="0" fontId="9" fillId="0" borderId="1" xfId="3" applyFont="1" applyBorder="1" applyAlignment="1">
      <alignment horizontal="right" vertical="center"/>
    </xf>
    <xf numFmtId="0" fontId="14" fillId="2" borderId="34" xfId="5" applyFont="1" applyFill="1" applyBorder="1" applyAlignment="1">
      <alignment horizontal="center" vertical="center"/>
    </xf>
    <xf numFmtId="0" fontId="14" fillId="2" borderId="30" xfId="5" applyFont="1" applyFill="1" applyBorder="1" applyAlignment="1">
      <alignment horizontal="center" vertical="center"/>
    </xf>
    <xf numFmtId="41" fontId="14" fillId="2" borderId="30" xfId="4" applyFont="1" applyFill="1" applyBorder="1" applyAlignment="1">
      <alignment horizontal="center" vertical="center"/>
    </xf>
    <xf numFmtId="41" fontId="14" fillId="2" borderId="35" xfId="4" applyFont="1" applyFill="1" applyBorder="1" applyAlignment="1">
      <alignment horizontal="center" vertical="center"/>
    </xf>
    <xf numFmtId="41" fontId="14" fillId="2" borderId="31" xfId="4" applyFont="1" applyFill="1" applyBorder="1" applyAlignment="1">
      <alignment horizontal="center" vertical="center"/>
    </xf>
    <xf numFmtId="0" fontId="21" fillId="5" borderId="36" xfId="5" applyFont="1" applyFill="1" applyBorder="1" applyAlignment="1" applyProtection="1">
      <alignment horizontal="center" vertical="center"/>
      <protection locked="0"/>
    </xf>
    <xf numFmtId="0" fontId="21" fillId="5" borderId="11" xfId="5" applyFont="1" applyFill="1" applyBorder="1" applyAlignment="1" applyProtection="1">
      <alignment horizontal="center" vertical="center"/>
      <protection locked="0"/>
    </xf>
    <xf numFmtId="41" fontId="21" fillId="5" borderId="11" xfId="4" quotePrefix="1" applyFont="1" applyFill="1" applyBorder="1" applyAlignment="1" applyProtection="1">
      <alignment horizontal="center" vertical="center" wrapText="1"/>
      <protection locked="0"/>
    </xf>
    <xf numFmtId="41" fontId="21" fillId="5" borderId="11" xfId="4" applyFont="1" applyFill="1" applyBorder="1" applyAlignment="1" applyProtection="1">
      <alignment horizontal="center" vertical="center" wrapText="1"/>
      <protection locked="0"/>
    </xf>
    <xf numFmtId="181" fontId="21" fillId="5" borderId="37" xfId="4" applyNumberFormat="1" applyFont="1" applyFill="1" applyBorder="1" applyAlignment="1" applyProtection="1">
      <alignment horizontal="center" vertical="center"/>
      <protection locked="0"/>
    </xf>
    <xf numFmtId="181" fontId="21" fillId="5" borderId="38" xfId="4" applyNumberFormat="1" applyFont="1" applyFill="1" applyBorder="1" applyAlignment="1" applyProtection="1">
      <alignment horizontal="center" vertical="center"/>
      <protection locked="0"/>
    </xf>
    <xf numFmtId="0" fontId="15" fillId="5" borderId="36" xfId="5" applyFont="1" applyFill="1" applyBorder="1" applyAlignment="1" applyProtection="1">
      <alignment horizontal="center" vertical="center"/>
      <protection locked="0"/>
    </xf>
    <xf numFmtId="0" fontId="15" fillId="5" borderId="11" xfId="5" applyFont="1" applyFill="1" applyBorder="1" applyAlignment="1" applyProtection="1">
      <alignment horizontal="center" vertical="center"/>
      <protection locked="0"/>
    </xf>
    <xf numFmtId="41" fontId="15" fillId="5" borderId="11" xfId="4" applyFont="1" applyFill="1" applyBorder="1" applyAlignment="1" applyProtection="1">
      <alignment horizontal="center" vertical="center" wrapText="1"/>
      <protection locked="0"/>
    </xf>
    <xf numFmtId="181" fontId="15" fillId="5" borderId="37" xfId="4" applyNumberFormat="1" applyFont="1" applyFill="1" applyBorder="1" applyAlignment="1" applyProtection="1">
      <alignment horizontal="center" vertical="center"/>
      <protection locked="0"/>
    </xf>
    <xf numFmtId="181" fontId="15" fillId="5" borderId="38" xfId="4" applyNumberFormat="1" applyFont="1" applyFill="1" applyBorder="1" applyAlignment="1" applyProtection="1">
      <alignment horizontal="center" vertical="center"/>
      <protection locked="0"/>
    </xf>
    <xf numFmtId="181" fontId="11" fillId="4" borderId="32" xfId="4" applyNumberFormat="1" applyFont="1" applyFill="1" applyBorder="1" applyAlignment="1">
      <alignment horizontal="center" vertical="center"/>
    </xf>
    <xf numFmtId="181" fontId="11" fillId="4" borderId="33" xfId="4" applyNumberFormat="1" applyFont="1" applyFill="1" applyBorder="1" applyAlignment="1">
      <alignment horizontal="center" vertical="center"/>
    </xf>
    <xf numFmtId="0" fontId="3" fillId="0" borderId="0" xfId="3" quotePrefix="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2" borderId="2" xfId="3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0" fontId="10" fillId="2" borderId="8" xfId="3" applyFont="1" applyFill="1" applyBorder="1" applyAlignment="1">
      <alignment horizontal="center" vertical="center"/>
    </xf>
    <xf numFmtId="0" fontId="10" fillId="2" borderId="9" xfId="3" applyFont="1" applyFill="1" applyBorder="1" applyAlignment="1">
      <alignment horizontal="center" vertical="center"/>
    </xf>
    <xf numFmtId="0" fontId="10" fillId="2" borderId="4" xfId="3" applyFont="1" applyFill="1" applyBorder="1" applyAlignment="1">
      <alignment horizontal="center" vertical="center" wrapText="1"/>
    </xf>
    <xf numFmtId="0" fontId="10" fillId="2" borderId="3" xfId="3" applyFont="1" applyFill="1" applyBorder="1" applyAlignment="1">
      <alignment horizontal="center" vertical="center" wrapText="1"/>
    </xf>
    <xf numFmtId="0" fontId="10" fillId="2" borderId="10" xfId="3" applyFont="1" applyFill="1" applyBorder="1" applyAlignment="1">
      <alignment horizontal="center" vertical="center" wrapText="1"/>
    </xf>
    <xf numFmtId="0" fontId="10" fillId="2" borderId="9" xfId="3" applyFont="1" applyFill="1" applyBorder="1" applyAlignment="1">
      <alignment horizontal="center" vertical="center" wrapText="1"/>
    </xf>
    <xf numFmtId="0" fontId="10" fillId="2" borderId="4" xfId="3" applyFont="1" applyFill="1" applyBorder="1" applyAlignment="1">
      <alignment horizontal="center" vertical="center"/>
    </xf>
    <xf numFmtId="0" fontId="10" fillId="2" borderId="6" xfId="3" applyFont="1" applyFill="1" applyBorder="1" applyAlignment="1">
      <alignment horizontal="center" vertical="center" wrapText="1"/>
    </xf>
    <xf numFmtId="0" fontId="10" fillId="2" borderId="12" xfId="3" applyFont="1" applyFill="1" applyBorder="1" applyAlignment="1">
      <alignment horizontal="center" vertical="center" wrapText="1"/>
    </xf>
    <xf numFmtId="0" fontId="10" fillId="2" borderId="7" xfId="3" applyFont="1" applyFill="1" applyBorder="1" applyAlignment="1">
      <alignment horizontal="center" vertical="center" wrapText="1"/>
    </xf>
    <xf numFmtId="0" fontId="10" fillId="2" borderId="13" xfId="3" applyFont="1" applyFill="1" applyBorder="1" applyAlignment="1">
      <alignment horizontal="center" vertical="center" wrapText="1"/>
    </xf>
    <xf numFmtId="176" fontId="9" fillId="0" borderId="14" xfId="3" applyNumberFormat="1" applyFont="1" applyBorder="1" applyAlignment="1">
      <alignment horizontal="center" vertical="center"/>
    </xf>
    <xf numFmtId="176" fontId="9" fillId="0" borderId="15" xfId="3" applyNumberFormat="1" applyFont="1" applyBorder="1" applyAlignment="1">
      <alignment horizontal="center" vertical="center"/>
    </xf>
    <xf numFmtId="177" fontId="9" fillId="0" borderId="16" xfId="3" applyNumberFormat="1" applyFont="1" applyBorder="1" applyAlignment="1">
      <alignment horizontal="center" vertical="center"/>
    </xf>
    <xf numFmtId="177" fontId="9" fillId="0" borderId="15" xfId="3" applyNumberFormat="1" applyFont="1" applyBorder="1" applyAlignment="1">
      <alignment horizontal="center" vertical="center"/>
    </xf>
    <xf numFmtId="176" fontId="11" fillId="0" borderId="19" xfId="3" applyNumberFormat="1" applyFont="1" applyBorder="1" applyAlignment="1">
      <alignment horizontal="center" vertical="center"/>
    </xf>
    <xf numFmtId="176" fontId="11" fillId="0" borderId="1" xfId="3" applyNumberFormat="1" applyFont="1" applyBorder="1" applyAlignment="1">
      <alignment horizontal="center" vertical="center"/>
    </xf>
    <xf numFmtId="176" fontId="11" fillId="0" borderId="23" xfId="3" applyNumberFormat="1" applyFont="1" applyBorder="1" applyAlignment="1">
      <alignment horizontal="center" vertical="center"/>
    </xf>
    <xf numFmtId="176" fontId="11" fillId="0" borderId="24" xfId="3" applyNumberFormat="1" applyFont="1" applyBorder="1" applyAlignment="1">
      <alignment horizontal="center" vertical="center"/>
    </xf>
    <xf numFmtId="0" fontId="12" fillId="0" borderId="27" xfId="5" applyFont="1" applyBorder="1" applyAlignment="1">
      <alignment horizontal="center" vertical="center"/>
    </xf>
    <xf numFmtId="0" fontId="12" fillId="0" borderId="28" xfId="5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47" fillId="9" borderId="52" xfId="0" applyFont="1" applyFill="1" applyBorder="1" applyAlignment="1">
      <alignment horizontal="center" vertical="center" textRotation="255" wrapText="1"/>
    </xf>
    <xf numFmtId="0" fontId="47" fillId="9" borderId="53" xfId="0" applyFont="1" applyFill="1" applyBorder="1" applyAlignment="1">
      <alignment horizontal="center" vertical="center" textRotation="255" wrapText="1"/>
    </xf>
    <xf numFmtId="0" fontId="47" fillId="9" borderId="68" xfId="0" applyFont="1" applyFill="1" applyBorder="1" applyAlignment="1">
      <alignment horizontal="center" vertical="center" textRotation="255" wrapText="1"/>
    </xf>
    <xf numFmtId="0" fontId="18" fillId="0" borderId="4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47" fillId="9" borderId="44" xfId="0" applyFont="1" applyFill="1" applyBorder="1" applyAlignment="1">
      <alignment horizontal="center" vertical="center"/>
    </xf>
    <xf numFmtId="0" fontId="47" fillId="9" borderId="45" xfId="0" applyFont="1" applyFill="1" applyBorder="1" applyAlignment="1">
      <alignment horizontal="center" vertical="center"/>
    </xf>
    <xf numFmtId="0" fontId="47" fillId="9" borderId="80" xfId="0" applyFont="1" applyFill="1" applyBorder="1" applyAlignment="1">
      <alignment horizontal="center" vertical="center"/>
    </xf>
    <xf numFmtId="0" fontId="47" fillId="9" borderId="81" xfId="0" applyFont="1" applyFill="1" applyBorder="1" applyAlignment="1">
      <alignment horizontal="center" vertical="center"/>
    </xf>
    <xf numFmtId="0" fontId="18" fillId="0" borderId="43" xfId="0" applyFont="1" applyBorder="1" applyAlignment="1">
      <alignment horizontal="center" vertical="top" wrapText="1"/>
    </xf>
    <xf numFmtId="0" fontId="47" fillId="9" borderId="43" xfId="0" applyFont="1" applyFill="1" applyBorder="1" applyAlignment="1">
      <alignment horizontal="center" vertical="center" textRotation="255" wrapText="1"/>
    </xf>
    <xf numFmtId="0" fontId="19" fillId="0" borderId="0" xfId="0" quotePrefix="1" applyFont="1" applyAlignment="1">
      <alignment horizontal="center" vertical="center"/>
    </xf>
    <xf numFmtId="0" fontId="47" fillId="9" borderId="43" xfId="0" applyFont="1" applyFill="1" applyBorder="1" applyAlignment="1">
      <alignment horizontal="center" vertical="center"/>
    </xf>
    <xf numFmtId="0" fontId="47" fillId="9" borderId="43" xfId="0" applyFont="1" applyFill="1" applyBorder="1" applyAlignment="1">
      <alignment horizontal="center" vertical="center" textRotation="255"/>
    </xf>
    <xf numFmtId="0" fontId="18" fillId="0" borderId="43" xfId="0" applyFont="1" applyBorder="1" applyAlignment="1">
      <alignment horizontal="left" vertical="top"/>
    </xf>
    <xf numFmtId="0" fontId="47" fillId="9" borderId="52" xfId="0" applyFont="1" applyFill="1" applyBorder="1" applyAlignment="1">
      <alignment horizontal="center" vertical="top" textRotation="255" wrapText="1"/>
    </xf>
    <xf numFmtId="0" fontId="47" fillId="9" borderId="53" xfId="0" applyFont="1" applyFill="1" applyBorder="1" applyAlignment="1">
      <alignment horizontal="center" vertical="top" textRotation="255" wrapText="1"/>
    </xf>
    <xf numFmtId="0" fontId="47" fillId="9" borderId="68" xfId="0" applyFont="1" applyFill="1" applyBorder="1" applyAlignment="1">
      <alignment horizontal="center" vertical="top" textRotation="255" wrapText="1"/>
    </xf>
    <xf numFmtId="0" fontId="47" fillId="9" borderId="52" xfId="0" applyFont="1" applyFill="1" applyBorder="1" applyAlignment="1">
      <alignment horizontal="center" vertical="center" textRotation="255"/>
    </xf>
    <xf numFmtId="0" fontId="47" fillId="9" borderId="53" xfId="0" applyFont="1" applyFill="1" applyBorder="1" applyAlignment="1">
      <alignment horizontal="center" vertical="center" textRotation="255"/>
    </xf>
    <xf numFmtId="0" fontId="47" fillId="9" borderId="68" xfId="0" applyFont="1" applyFill="1" applyBorder="1" applyAlignment="1">
      <alignment horizontal="center" vertical="center" textRotation="255"/>
    </xf>
    <xf numFmtId="0" fontId="10" fillId="9" borderId="4" xfId="3" applyFont="1" applyFill="1" applyBorder="1" applyAlignment="1">
      <alignment horizontal="center" vertical="center"/>
    </xf>
    <xf numFmtId="0" fontId="10" fillId="9" borderId="5" xfId="3" applyFont="1" applyFill="1" applyBorder="1" applyAlignment="1">
      <alignment horizontal="center" vertical="center"/>
    </xf>
    <xf numFmtId="0" fontId="10" fillId="9" borderId="3" xfId="3" applyFont="1" applyFill="1" applyBorder="1" applyAlignment="1">
      <alignment horizontal="center" vertical="center"/>
    </xf>
    <xf numFmtId="0" fontId="64" fillId="10" borderId="47" xfId="0" applyFont="1" applyFill="1" applyBorder="1" applyAlignment="1">
      <alignment horizontal="center" vertical="center" wrapText="1"/>
    </xf>
    <xf numFmtId="0" fontId="64" fillId="10" borderId="43" xfId="0" applyFont="1" applyFill="1" applyBorder="1" applyAlignment="1">
      <alignment horizontal="center" vertical="center"/>
    </xf>
    <xf numFmtId="0" fontId="58" fillId="0" borderId="43" xfId="0" applyFont="1" applyBorder="1" applyAlignment="1">
      <alignment horizontal="center" vertical="center" wrapText="1"/>
    </xf>
    <xf numFmtId="41" fontId="58" fillId="0" borderId="43" xfId="1" applyFont="1" applyFill="1" applyBorder="1" applyAlignment="1">
      <alignment horizontal="left" vertical="center" indent="1"/>
    </xf>
    <xf numFmtId="41" fontId="58" fillId="0" borderId="48" xfId="1" applyFont="1" applyFill="1" applyBorder="1" applyAlignment="1">
      <alignment horizontal="left" vertical="center" indent="1"/>
    </xf>
    <xf numFmtId="0" fontId="61" fillId="10" borderId="49" xfId="0" applyFont="1" applyFill="1" applyBorder="1" applyAlignment="1">
      <alignment horizontal="center" vertical="center" wrapText="1"/>
    </xf>
    <xf numFmtId="0" fontId="64" fillId="10" borderId="50" xfId="0" applyFont="1" applyFill="1" applyBorder="1" applyAlignment="1">
      <alignment horizontal="center" vertical="center"/>
    </xf>
    <xf numFmtId="0" fontId="59" fillId="0" borderId="50" xfId="0" applyFont="1" applyBorder="1" applyAlignment="1">
      <alignment horizontal="center" vertical="center" wrapText="1"/>
    </xf>
    <xf numFmtId="0" fontId="58" fillId="0" borderId="50" xfId="0" applyFont="1" applyBorder="1" applyAlignment="1">
      <alignment horizontal="center" vertical="center" wrapText="1"/>
    </xf>
    <xf numFmtId="41" fontId="59" fillId="0" borderId="50" xfId="1" applyFont="1" applyFill="1" applyBorder="1" applyAlignment="1">
      <alignment horizontal="left" vertical="center" indent="1"/>
    </xf>
    <xf numFmtId="41" fontId="59" fillId="0" borderId="51" xfId="1" applyFont="1" applyFill="1" applyBorder="1" applyAlignment="1">
      <alignment horizontal="left" vertical="center" indent="1"/>
    </xf>
    <xf numFmtId="0" fontId="59" fillId="0" borderId="43" xfId="0" applyFont="1" applyBorder="1" applyAlignment="1">
      <alignment horizontal="center" vertical="center" wrapText="1"/>
    </xf>
    <xf numFmtId="0" fontId="58" fillId="0" borderId="43" xfId="0" applyFont="1" applyBorder="1" applyAlignment="1">
      <alignment horizontal="center" vertical="center"/>
    </xf>
    <xf numFmtId="0" fontId="61" fillId="10" borderId="47" xfId="21" applyNumberFormat="1" applyFont="1" applyFill="1" applyBorder="1" applyAlignment="1">
      <alignment horizontal="center" vertical="center"/>
    </xf>
    <xf numFmtId="0" fontId="61" fillId="10" borderId="43" xfId="0" applyFont="1" applyFill="1" applyBorder="1" applyAlignment="1">
      <alignment horizontal="center" vertical="center" wrapText="1"/>
    </xf>
    <xf numFmtId="0" fontId="63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62" fillId="0" borderId="43" xfId="21" applyNumberFormat="1" applyFont="1" applyFill="1" applyBorder="1" applyAlignment="1">
      <alignment vertical="center"/>
    </xf>
    <xf numFmtId="0" fontId="61" fillId="10" borderId="88" xfId="0" applyFont="1" applyFill="1" applyBorder="1" applyAlignment="1">
      <alignment horizontal="center" vertical="center" wrapText="1"/>
    </xf>
    <xf numFmtId="0" fontId="61" fillId="10" borderId="68" xfId="0" applyFont="1" applyFill="1" applyBorder="1" applyAlignment="1">
      <alignment horizontal="center" vertical="center" wrapText="1"/>
    </xf>
    <xf numFmtId="41" fontId="58" fillId="0" borderId="68" xfId="1" applyFont="1" applyFill="1" applyBorder="1" applyAlignment="1">
      <alignment horizontal="center" vertical="center"/>
    </xf>
    <xf numFmtId="41" fontId="58" fillId="0" borderId="68" xfId="1" applyFont="1" applyFill="1" applyBorder="1" applyAlignment="1">
      <alignment horizontal="left" vertical="center" indent="1"/>
    </xf>
    <xf numFmtId="41" fontId="58" fillId="0" borderId="89" xfId="1" applyFont="1" applyFill="1" applyBorder="1" applyAlignment="1">
      <alignment horizontal="left" vertical="center" indent="1"/>
    </xf>
    <xf numFmtId="0" fontId="56" fillId="5" borderId="0" xfId="0" applyFont="1" applyFill="1" applyAlignment="1">
      <alignment horizontal="center" vertical="center" wrapText="1"/>
    </xf>
    <xf numFmtId="0" fontId="57" fillId="5" borderId="0" xfId="0" applyFont="1" applyFill="1" applyAlignment="1">
      <alignment horizontal="left" vertical="center" wrapText="1"/>
    </xf>
    <xf numFmtId="0" fontId="61" fillId="10" borderId="83" xfId="0" applyFont="1" applyFill="1" applyBorder="1" applyAlignment="1">
      <alignment horizontal="center" vertical="center" wrapText="1"/>
    </xf>
    <xf numFmtId="0" fontId="61" fillId="10" borderId="84" xfId="0" applyFont="1" applyFill="1" applyBorder="1" applyAlignment="1">
      <alignment horizontal="center" vertical="center" wrapText="1"/>
    </xf>
    <xf numFmtId="0" fontId="64" fillId="10" borderId="85" xfId="21" applyNumberFormat="1" applyFont="1" applyFill="1" applyBorder="1" applyAlignment="1">
      <alignment horizontal="center" vertical="center"/>
    </xf>
    <xf numFmtId="0" fontId="61" fillId="10" borderId="86" xfId="0" applyFont="1" applyFill="1" applyBorder="1" applyAlignment="1">
      <alignment horizontal="center" vertical="center" wrapText="1"/>
    </xf>
    <xf numFmtId="0" fontId="58" fillId="0" borderId="86" xfId="1" applyNumberFormat="1" applyFont="1" applyFill="1" applyBorder="1" applyAlignment="1">
      <alignment horizontal="center" vertical="center" wrapText="1"/>
    </xf>
    <xf numFmtId="0" fontId="72" fillId="0" borderId="93" xfId="0" applyFont="1" applyBorder="1" applyAlignment="1">
      <alignment horizontal="center" vertical="center" wrapText="1"/>
    </xf>
    <xf numFmtId="0" fontId="72" fillId="0" borderId="94" xfId="0" applyFont="1" applyBorder="1" applyAlignment="1">
      <alignment horizontal="center" vertical="center" wrapText="1"/>
    </xf>
    <xf numFmtId="0" fontId="72" fillId="0" borderId="95" xfId="0" applyFont="1" applyBorder="1" applyAlignment="1">
      <alignment horizontal="center" vertical="center" wrapText="1"/>
    </xf>
    <xf numFmtId="0" fontId="72" fillId="12" borderId="93" xfId="0" applyFont="1" applyFill="1" applyBorder="1" applyAlignment="1">
      <alignment horizontal="center" vertical="center" wrapText="1"/>
    </xf>
    <xf numFmtId="0" fontId="72" fillId="12" borderId="94" xfId="0" applyFont="1" applyFill="1" applyBorder="1" applyAlignment="1">
      <alignment horizontal="center" vertical="center" wrapText="1"/>
    </xf>
    <xf numFmtId="0" fontId="72" fillId="12" borderId="95" xfId="0" applyFont="1" applyFill="1" applyBorder="1" applyAlignment="1">
      <alignment horizontal="center" vertical="center" wrapText="1"/>
    </xf>
    <xf numFmtId="0" fontId="70" fillId="0" borderId="52" xfId="0" applyFont="1" applyBorder="1" applyAlignment="1">
      <alignment horizontal="center" vertical="center" wrapText="1"/>
    </xf>
    <xf numFmtId="0" fontId="70" fillId="0" borderId="53" xfId="0" applyFont="1" applyBorder="1" applyAlignment="1">
      <alignment horizontal="center" vertical="center"/>
    </xf>
    <xf numFmtId="0" fontId="70" fillId="0" borderId="68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70" fillId="0" borderId="52" xfId="0" applyFont="1" applyBorder="1" applyAlignment="1">
      <alignment horizontal="center" vertical="center"/>
    </xf>
    <xf numFmtId="0" fontId="76" fillId="0" borderId="97" xfId="0" applyFont="1" applyBorder="1" applyAlignment="1">
      <alignment horizontal="left" vertical="center" wrapText="1"/>
    </xf>
    <xf numFmtId="0" fontId="76" fillId="0" borderId="98" xfId="0" applyFont="1" applyBorder="1" applyAlignment="1">
      <alignment horizontal="left" vertical="center" wrapText="1"/>
    </xf>
    <xf numFmtId="0" fontId="48" fillId="9" borderId="72" xfId="15" applyFont="1" applyFill="1" applyBorder="1" applyAlignment="1">
      <alignment horizontal="center" vertical="center"/>
    </xf>
    <xf numFmtId="0" fontId="48" fillId="9" borderId="72" xfId="15" applyFont="1" applyFill="1" applyBorder="1" applyAlignment="1">
      <alignment horizontal="center" vertical="center"/>
    </xf>
    <xf numFmtId="0" fontId="48" fillId="9" borderId="70" xfId="7" applyFont="1" applyFill="1" applyBorder="1" applyAlignment="1">
      <alignment vertical="center"/>
    </xf>
    <xf numFmtId="41" fontId="48" fillId="9" borderId="71" xfId="4" applyFont="1" applyFill="1" applyBorder="1" applyAlignment="1">
      <alignment horizontal="center" vertical="center"/>
    </xf>
    <xf numFmtId="41" fontId="48" fillId="9" borderId="72" xfId="4" applyFont="1" applyFill="1" applyBorder="1" applyAlignment="1">
      <alignment horizontal="center" vertical="center"/>
    </xf>
    <xf numFmtId="0" fontId="50" fillId="9" borderId="43" xfId="7" applyFont="1" applyFill="1" applyBorder="1" applyAlignment="1">
      <alignment horizontal="center" vertical="center" wrapText="1"/>
    </xf>
    <xf numFmtId="0" fontId="50" fillId="9" borderId="43" xfId="7" applyFont="1" applyFill="1" applyBorder="1" applyAlignment="1">
      <alignment horizontal="center" vertical="center"/>
    </xf>
    <xf numFmtId="9" fontId="51" fillId="9" borderId="43" xfId="7" applyNumberFormat="1" applyFont="1" applyFill="1" applyBorder="1" applyAlignment="1">
      <alignment vertical="center" wrapText="1"/>
    </xf>
    <xf numFmtId="38" fontId="51" fillId="9" borderId="43" xfId="7" applyNumberFormat="1" applyFont="1" applyFill="1" applyBorder="1" applyAlignment="1">
      <alignment horizontal="right" vertical="center" wrapText="1"/>
    </xf>
    <xf numFmtId="38" fontId="51" fillId="9" borderId="43" xfId="9" applyNumberFormat="1" applyFont="1" applyFill="1" applyBorder="1" applyAlignment="1">
      <alignment horizontal="right" vertical="center"/>
    </xf>
  </cellXfs>
  <cellStyles count="27">
    <cellStyle name="백분율" xfId="2" builtinId="5"/>
    <cellStyle name="백분율 2" xfId="8" xr:uid="{00000000-0005-0000-0000-000001000000}"/>
    <cellStyle name="백분율 2 3" xfId="17" xr:uid="{00000000-0005-0000-0000-000002000000}"/>
    <cellStyle name="백분율 3" xfId="14" xr:uid="{00000000-0005-0000-0000-000003000000}"/>
    <cellStyle name="백분율 5" xfId="18" xr:uid="{00000000-0005-0000-0000-000004000000}"/>
    <cellStyle name="보통 2" xfId="19" xr:uid="{00000000-0005-0000-0000-000005000000}"/>
    <cellStyle name="쉼표" xfId="21" builtinId="3"/>
    <cellStyle name="쉼표 [0]" xfId="1" builtinId="6"/>
    <cellStyle name="쉼표 [0] 2" xfId="13" xr:uid="{00000000-0005-0000-0000-000008000000}"/>
    <cellStyle name="쉼표 [0] 2 2" xfId="4" xr:uid="{00000000-0005-0000-0000-000009000000}"/>
    <cellStyle name="쉼표 [0] 5" xfId="9" xr:uid="{00000000-0005-0000-0000-00000A000000}"/>
    <cellStyle name="제목" xfId="24" builtinId="15"/>
    <cellStyle name="제목 1" xfId="25" builtinId="16"/>
    <cellStyle name="제목 4" xfId="26" builtinId="19"/>
    <cellStyle name="통화" xfId="22" builtinId="4"/>
    <cellStyle name="통화 [0]" xfId="23" builtinId="7"/>
    <cellStyle name="통화 [0] 2 2" xfId="10" xr:uid="{00000000-0005-0000-0000-000010000000}"/>
    <cellStyle name="표준" xfId="0" builtinId="0"/>
    <cellStyle name="표준 10 2" xfId="16" xr:uid="{00000000-0005-0000-0000-000012000000}"/>
    <cellStyle name="표준 2" xfId="7" xr:uid="{00000000-0005-0000-0000-000013000000}"/>
    <cellStyle name="표준 2 2" xfId="20" xr:uid="{00000000-0005-0000-0000-000014000000}"/>
    <cellStyle name="표준 5" xfId="11" xr:uid="{00000000-0005-0000-0000-000015000000}"/>
    <cellStyle name="표준_가스공사감리견적" xfId="12" xr:uid="{00000000-0005-0000-0000-000016000000}"/>
    <cellStyle name="표준_견적서" xfId="15" xr:uid="{00000000-0005-0000-0000-000017000000}"/>
    <cellStyle name="표준_국민참여_가격제안서_050601" xfId="3" xr:uid="{00000000-0005-0000-0000-000018000000}"/>
    <cellStyle name="표준_업무기능목록(박찬희)" xfId="6" xr:uid="{00000000-0005-0000-0000-000019000000}"/>
    <cellStyle name="표준_행정_건설" xfId="5" xr:uid="{00000000-0005-0000-0000-00001A000000}"/>
  </cellStyles>
  <dxfs count="6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44546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OL2000\DOWN\&#47805;&#44256;&#48169;&#49569;&#4439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\97_&#45936;&#51060;&#53552;&#54728;&#48652;(&#45236;&#48512;&#50857;)\20240823_&#45936;&#51060;&#53552;&#54728;&#48652;_&#44204;&#51201;\&#52280;&#51312;&#51088;&#47308;\(2023.12.05)&#45824;&#50689;&#50976;&#48708;&#53581;_&#54217;&#53469;%20&#45936;&#51060;&#53440;&#54728;&#48652;_KT%20&#44204;&#51201;_FP&#54252;&#54632;%20-%20&#48373;&#49324;&#4837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OL2000\DOWN\kwork\&#44204;&#51201;&#49436;\&#44277;&#51221;&#52384;\&#49472;&#53580;&#53356;&#4543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51088;&#46041;&#54224;&#49353;&#49444;&#44228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45824;&#50689;&#51204;&#53685;/&#47196;&#52972;%20&#46356;&#49828;&#53356;%20(d)/&#49444;&#44228;/&#50504;&#49328;&#51064;&#51077;/&#45800;&#44032;&#49328;&#52636;&#44592;&#52488;.xls" TargetMode="External"/><Relationship Id="rId1" Type="http://schemas.openxmlformats.org/officeDocument/2006/relationships/externalLinkPath" Target="/&#45824;&#50689;&#51204;&#53685;/&#47196;&#52972;%20&#46356;&#49828;&#53356;%20(d)/&#49444;&#44228;/&#50504;&#49328;&#51064;&#51077;/&#45800;&#44032;&#49328;&#52636;&#44592;&#5248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48;&#47532;&#49324;&#50629;&#54016;(&#51064;&#50689;&#51452;)\&#44048;&#47532;&#54788;&#51109;\&#50756;&#47308;&#50857;&#50669;\&#44221;&#50896;&#49440;%20&#51032;&#51221;&#48512;-&#46041;&#50504;&#44036;\&#44221;&#50896;&#49440;&#49444;&#44228;&#48320;&#44221;\2007&#52509;&#52404;&#49444;&#44228;&#48320;&#44221;\2007&#45380;&#52509;&#52404;&#49444;&#44228;&#48320;&#44221;\&#44221;&#51064;&#49440;&#52280;&#44256;\&#52384;&#46020;&#52397;\&#54840;&#45224;&#49440;\&#49444;&#44228;&#48320;&#44221;\&#49444;&#44228;&#49436;\&#52649;&#48513;&#49440;\1217-&#49688;&#4704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48;&#47532;&#49324;&#50629;&#54016;(&#51064;&#50689;&#51452;)\&#44048;&#47532;&#54788;&#51109;\&#50756;&#47308;&#50857;&#50669;\&#44221;&#50896;&#49440;%20&#51032;&#51221;&#48512;-&#46041;&#50504;&#44036;\&#44221;&#50896;&#49440;&#49444;&#44228;&#48320;&#44221;\2007&#52509;&#52404;&#49444;&#44228;&#48320;&#44221;\2007&#45380;&#52509;&#52404;&#49444;&#44228;&#48320;&#44221;\&#44221;&#51064;&#49440;&#52280;&#44256;\&#52384;&#46020;&#52397;\&#54840;&#45224;&#49440;\&#49444;&#44228;&#48320;&#44221;\&#51473;&#50521;&#49440;&#50857;&#50669;&#49444;&#44228;\&#52397;&#47049;&#47532;~&#45909;&#49548;\&#49444;&#44228;&#49436;\&#53076;&#46300;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45824;&#50689;&#51204;&#53685;/&#47196;&#52972;%20&#46356;&#49828;&#53356;%20(d)/&#44221;&#51064;&#49440;&#44305;&#52992;&#51060;&#48660;/&#49444;&#44228;&#49436;&amp;&#45800;&#44032;&#49328;&#52636;&#49436;%20(1)/&#45800;&#44032;&#49328;&#52636;&#49436;(&#51068;&#49345;&#44048;&#49324;&#49688;&#51221;&#48516;).xls" TargetMode="External"/><Relationship Id="rId1" Type="http://schemas.openxmlformats.org/officeDocument/2006/relationships/externalLinkPath" Target="/&#45824;&#50689;&#51204;&#53685;/&#47196;&#52972;%20&#46356;&#49828;&#53356;%20(d)/&#44221;&#51064;&#49440;&#44305;&#52992;&#51060;&#48660;/&#49444;&#44228;&#49436;&amp;&#45800;&#44032;&#49328;&#52636;&#49436;%20(1)/&#45800;&#44032;&#49328;&#52636;&#49436;(&#51068;&#49345;&#44048;&#49324;&#49688;&#51221;&#48516;)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windows/TEMP/SUN%20&#44204;&#51201;%20U60.xls" TargetMode="External"/><Relationship Id="rId1" Type="http://schemas.openxmlformats.org/officeDocument/2006/relationships/externalLinkPath" Target="/windows/TEMP/SUN%20&#44204;&#51201;%20U6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NC\FONT\&#49472;&#53580;&#53356;&#45432;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45824;&#50689;&#51204;&#53685;/&#47196;&#52972;%20&#46356;&#49828;&#53356;%20(d)/&#44221;&#51064;2&#48373;&#49440;(0730).xls" TargetMode="External"/><Relationship Id="rId1" Type="http://schemas.openxmlformats.org/officeDocument/2006/relationships/externalLinkPath" Target="/&#45824;&#50689;&#51204;&#53685;/&#47196;&#52972;%20&#46356;&#49828;&#53356;%20(d)/&#44221;&#51064;2&#48373;&#49440;(0730)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45824;&#50689;&#51204;&#53685;/&#47196;&#52972;%20&#46356;&#49828;&#53356;%20(d)/My%20Documents/&#51088;&#46041;&#54224;&#49353;&#49444;&#44228;.xls" TargetMode="External"/><Relationship Id="rId1" Type="http://schemas.openxmlformats.org/officeDocument/2006/relationships/externalLinkPath" Target="/&#45824;&#50689;&#51204;&#53685;/&#47196;&#52972;%20&#46356;&#49828;&#53356;%20(d)/My%20Documents/&#51088;&#46041;&#54224;&#49353;&#49444;&#4422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48;&#47532;&#49324;&#50629;&#54016;(&#51064;&#50689;&#51452;)\&#44048;&#47532;&#54788;&#51109;\&#50756;&#47308;&#50857;&#50669;\&#44221;&#50896;&#49440;%20&#51032;&#51221;&#48512;-&#46041;&#50504;&#44036;\&#44221;&#50896;&#49440;&#49444;&#44228;&#48320;&#44221;\2007&#52509;&#52404;&#49444;&#44228;&#48320;&#44221;\2007&#45380;&#52509;&#52404;&#49444;&#44228;&#48320;&#44221;\&#44221;&#51064;&#49440;&#52280;&#44256;\&#52384;&#46020;&#52397;\&#54840;&#45224;&#49440;\&#49444;&#44228;&#48320;&#44221;\&#51473;&#50521;&#49440;&#50857;&#50669;&#49444;&#44228;\&#52397;&#47049;&#47532;~&#45909;&#49548;\&#49444;&#44228;&#49436;\&#44288;&#44553;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51060;&#50689;&#49688;1/&#44221;&#51032;&#49440;%20&#47928;&#49328;/&#50669;&#49324;&#50857;&#50669;/&#47928;&#49328;&#51076;&#49884;&#52572;&#51333;.xls" TargetMode="External"/><Relationship Id="rId1" Type="http://schemas.openxmlformats.org/officeDocument/2006/relationships/externalLinkPath" Target="/&#51060;&#50689;&#49688;1/&#44221;&#51032;&#49440;%20&#47928;&#49328;/&#50669;&#49324;&#50857;&#50669;/&#47928;&#49328;&#51076;&#49884;&#52572;&#51333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48;&#47532;&#49324;&#50629;&#54016;(&#51064;&#50689;&#51452;)\&#44048;&#47532;&#54788;&#51109;\&#50756;&#47308;&#50857;&#50669;\&#44221;&#50896;&#49440;%20&#51032;&#51221;&#48512;-&#46041;&#50504;&#44036;\&#44221;&#50896;&#49440;&#49444;&#44228;&#48320;&#44221;\2007&#52509;&#52404;&#49444;&#44228;&#48320;&#44221;\2007&#45380;&#52509;&#52404;&#49444;&#44228;&#48320;&#44221;\&#44221;&#51064;&#49440;&#52280;&#44256;\&#52384;&#46020;&#52397;\&#54840;&#45224;&#49440;\&#49444;&#44228;&#48320;&#44221;\&#51473;&#50521;&#49440;&#50857;&#50669;&#49444;&#44228;\&#52397;&#47049;&#47532;~&#45909;&#49548;\&#49444;&#44228;&#49436;\&#51068;&#50948;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46041;&#45224;&#53685;&#49888;/&#44608;&#54644;&#47329;&#54868;&#51068;/&#49436;&#50872;-&#49884;&#55141;/&#50896;&#48376;&#45236;&#50669;&#49436;(&#49436;&#50872;~&#49884;&#55141;).xls" TargetMode="External"/><Relationship Id="rId1" Type="http://schemas.openxmlformats.org/officeDocument/2006/relationships/externalLinkPath" Target="/&#46041;&#45224;&#53685;&#49888;/&#44608;&#54644;&#47329;&#54868;&#51068;/&#49436;&#50872;-&#49884;&#55141;/&#50896;&#48376;&#45236;&#50669;&#49436;(&#49436;&#50872;~&#49884;&#55141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221;&#48512;&#49440;(&#44148;&#48376;&#48156;&#51452;&#48516;)\2.&#48512;&#51204;~&#49324;&#49345;\1.&#44277;&#49324;&#50696;&#49328;&#49436;\6.&#44277;&#49324;&#50696;&#49328;&#49436;\&#45236;&#50669;&#49436;\&#45236;&#50669;&#49436;(&#49436;&#50872;~&#49884;&#55141;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48;&#47532;&#49324;&#50629;&#54016;(&#51064;&#50689;&#51452;)\&#44048;&#47532;&#54788;&#51109;\&#50756;&#47308;&#50857;&#50669;\&#44221;&#50896;&#49440;%20&#51032;&#51221;&#48512;-&#46041;&#50504;&#44036;\&#44221;&#50896;&#49440;&#49444;&#44228;&#48320;&#44221;\2007&#52509;&#52404;&#49444;&#44228;&#48320;&#44221;\2007&#45380;&#52509;&#52404;&#49444;&#44228;&#48320;&#44221;\&#44221;&#51064;&#49440;&#52280;&#44256;\&#52384;&#46020;&#52397;\&#54840;&#45224;&#49440;\&#49444;&#44228;&#48320;&#44221;\&#45236;&#50669;&#54268;\&#49444;&#44228;&#48320;&#44221;_&#49569;&#51221;-&#47924;&#50504;__&#52509;&#52404;1_\&#44221;&#50896;&#49440;\&#55064;&#44221;&#45800;&#44032;&#49328;&#526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방음창"/>
      <sheetName val="방음창-3P"/>
      <sheetName val="ST'L방음문"/>
      <sheetName val="SUS방음문"/>
      <sheetName val="레쟈방음문"/>
      <sheetName val="FB25JCN "/>
      <sheetName val="FB25JN"/>
      <sheetName val="UF25JN"/>
      <sheetName val="FB25CN"/>
      <sheetName val="DP2T"/>
      <sheetName val="DP4T"/>
      <sheetName val="ACCESS FL."/>
      <sheetName val="ACCESS FL(2)"/>
      <sheetName val="FB25CN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상세견적"/>
      <sheetName val="01.수집모듈(개발비)"/>
      <sheetName val="01.수집모듈(FP)"/>
      <sheetName val="02.코어모듈(개발비)"/>
      <sheetName val="02.코어모듈(FP)"/>
      <sheetName val="03.분석모듈(개발비)"/>
      <sheetName val="03.분석모듈(FP)"/>
      <sheetName val="04.API Gateway(개발비)"/>
      <sheetName val="04.API Gateway(FP)"/>
      <sheetName val="05.보안모듈(개발비)"/>
      <sheetName val="05.보안모듈(FP)"/>
      <sheetName val="06.마켓플레이스(개발비)"/>
      <sheetName val="06.마켓플레이스(FP)"/>
      <sheetName val="07.사용자포털(개발비)"/>
      <sheetName val="07.사용자포털(FP)"/>
      <sheetName val="(참조)보정계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B25JN"/>
      <sheetName val="UF25JN"/>
      <sheetName val="DM1T"/>
      <sheetName val="DP2T"/>
      <sheetName val="방음시창"/>
      <sheetName val="방음문"/>
      <sheetName val="ST'L 리브"/>
      <sheetName val="흡음루바"/>
      <sheetName val="FB25JCN "/>
      <sheetName val="FB50JCN"/>
      <sheetName val="FB25CN"/>
      <sheetName val="GC25JN"/>
      <sheetName val="GC50JN"/>
      <sheetName val="ACCESS FL."/>
      <sheetName val="ACCESS FL. (2)"/>
      <sheetName val="TECTUM"/>
      <sheetName val="TEC+FAB마감"/>
      <sheetName val="GC50J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운반비산출"/>
      <sheetName val="운반중량"/>
      <sheetName val="LRH인공"/>
      <sheetName val="강관주"/>
      <sheetName val="CCTV철거"/>
      <sheetName val="CCTV"/>
      <sheetName val="스피커"/>
      <sheetName val="배관배선"/>
      <sheetName val="옥외배선함"/>
      <sheetName val="연선전화"/>
      <sheetName val="토크백,터파기"/>
      <sheetName val="5공종별예산조서"/>
      <sheetName val="철거발생품"/>
      <sheetName val="관급자재"/>
      <sheetName val="원가계산"/>
      <sheetName val="도급예산서"/>
      <sheetName val="일위기초"/>
      <sheetName val="일위대가"/>
      <sheetName val="수량조서"/>
      <sheetName val="수량집계"/>
      <sheetName val="수량산출"/>
      <sheetName val="지중도체"/>
      <sheetName val="케이블100P"/>
      <sheetName val="케이블74P "/>
      <sheetName val="케이블54P"/>
      <sheetName val="케이블28P"/>
      <sheetName val="케이블14P"/>
      <sheetName val="철거54P"/>
      <sheetName val="도관전선"/>
      <sheetName val="사정조서"/>
      <sheetName val="사정표지"/>
      <sheetName val="공사개요"/>
      <sheetName val="총괄집계표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자재단가표"/>
      <sheetName val="노임단가"/>
      <sheetName val="수량산출1"/>
      <sheetName val="역사집계표"/>
      <sheetName val="수량계산"/>
      <sheetName val="선로집계"/>
      <sheetName val="선로총괄"/>
      <sheetName val="인공"/>
      <sheetName val="반송인공"/>
      <sheetName val="관로신설"/>
      <sheetName val="광관로"/>
      <sheetName val="일위산출"/>
      <sheetName val="공량산출서"/>
      <sheetName val="일위대가"/>
      <sheetName val="수량조서"/>
      <sheetName val="원가계산서"/>
      <sheetName val="가설건물"/>
      <sheetName val="소방감리비"/>
      <sheetName val="LRH인공"/>
      <sheetName val="강관주"/>
      <sheetName val="CCTV"/>
      <sheetName val="증폭기"/>
      <sheetName val="연선전화"/>
      <sheetName val="지중도체"/>
      <sheetName val="사정조서"/>
      <sheetName val="사정표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BASIC (2)"/>
      <sheetName val="수량집계"/>
      <sheetName val="수량집계(2)"/>
      <sheetName val="수량산출"/>
      <sheetName val="수량산출 (2)"/>
      <sheetName val="구간철거"/>
      <sheetName val="역철거"/>
      <sheetName val="접지물량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종코드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DE"/>
      <sheetName val="UNIT"/>
      <sheetName val="cost"/>
      <sheetName val="공사원가"/>
      <sheetName val="공종별예산조서"/>
      <sheetName val="일위대가표"/>
      <sheetName val="일위산출"/>
      <sheetName val="가설공사"/>
      <sheetName val="운반비"/>
      <sheetName val="운반중량"/>
      <sheetName val="동원내역"/>
      <sheetName val="동원인원"/>
      <sheetName val="piece"/>
      <sheetName val="기계경비"/>
      <sheetName val="기계경비Ⅱ"/>
      <sheetName val="기계경비Ⅱ(2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60"/>
      <sheetName val="sheet1"/>
      <sheetName val="SUN 견적 U60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FB25JN"/>
      <sheetName val="SN-PF25T"/>
      <sheetName val="FB25CN"/>
      <sheetName val="GF25JN"/>
      <sheetName val="GF25JCN"/>
      <sheetName val="GC25JN"/>
      <sheetName val="GC50JN"/>
      <sheetName val="UF25GP"/>
      <sheetName val="UF25HP"/>
      <sheetName val="UF25TP"/>
      <sheetName val="UF50GP"/>
      <sheetName val="PL25GP"/>
      <sheetName val="PL50GP"/>
      <sheetName val="PF25GP"/>
      <sheetName val="PF50GP"/>
      <sheetName val="DP2T"/>
      <sheetName val="DM1T"/>
      <sheetName val="BS"/>
      <sheetName val="SB"/>
      <sheetName val="AF(벽체)"/>
      <sheetName val="AF(천정)"/>
      <sheetName val="고무안전리브"/>
      <sheetName val="라왕몰딩"/>
      <sheetName val="라왕걸레받이"/>
      <sheetName val="유공ST'L RIB"/>
      <sheetName val="코펜하겐리브"/>
      <sheetName val="방음문(편개)"/>
      <sheetName val="방음문(양개)"/>
      <sheetName val="방음시창1M2 이하"/>
      <sheetName val="방음시창1M2 이상"/>
      <sheetName val="방음시창KSW1P"/>
      <sheetName val="방음시창KSW2P"/>
      <sheetName val="방음시창KSW3P"/>
      <sheetName val="벽체방진기"/>
      <sheetName val="벽돌지지기"/>
      <sheetName val="벽지지브라켓트"/>
      <sheetName val="흡음루바"/>
      <sheetName val="ACCESS FL."/>
      <sheetName val="ACCESS FL. (2)"/>
      <sheetName val="TECTUM"/>
      <sheetName val="TEC+FAB마감"/>
      <sheetName val="GC50JN (2)"/>
      <sheetName val="FB25JCN 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DE"/>
      <sheetName val="UNIT"/>
      <sheetName val="cost"/>
      <sheetName val="예산조서"/>
      <sheetName val="원가"/>
      <sheetName val="예산조서(수정)"/>
      <sheetName val="원가 (2)"/>
      <sheetName val="예산조서(수정) (2)"/>
      <sheetName val="원가 (3)"/>
      <sheetName val="예산조서(수정) (3)"/>
      <sheetName val="일위대가표"/>
      <sheetName val="일위산출"/>
      <sheetName val="갑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운반비산출"/>
      <sheetName val="운반중량"/>
      <sheetName val="LRH인공"/>
      <sheetName val="강관주"/>
      <sheetName val="CCTV철거"/>
      <sheetName val="CCTV"/>
      <sheetName val="스피커"/>
      <sheetName val="배관배선"/>
      <sheetName val="옥외배선함"/>
      <sheetName val="연선전화"/>
      <sheetName val="토크백,터파기"/>
      <sheetName val="5공종별예산조서"/>
      <sheetName val="철거발생품"/>
      <sheetName val="관급자재"/>
      <sheetName val="원가계산"/>
      <sheetName val="도급예산서"/>
      <sheetName val="일위기초"/>
      <sheetName val="일위대가"/>
      <sheetName val="수량조서"/>
      <sheetName val="수량집계"/>
      <sheetName val="수량산출"/>
      <sheetName val="지중도체"/>
      <sheetName val="케이블100P"/>
      <sheetName val="케이블74P "/>
      <sheetName val="케이블54P"/>
      <sheetName val="케이블28P"/>
      <sheetName val="케이블14P"/>
      <sheetName val="철거54P"/>
      <sheetName val="도관전선"/>
      <sheetName val="사정조서"/>
      <sheetName val="사정표지"/>
      <sheetName val="공사개요"/>
      <sheetName val="총괄집계표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내역표지"/>
      <sheetName val="관급총괄"/>
      <sheetName val="관급자재"/>
    </sheetNames>
    <sheetDataSet>
      <sheetData sheetId="0"/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문산"/>
      <sheetName val="1.공사원가계산서"/>
      <sheetName val="2.공정별예산조서"/>
      <sheetName val="3.일위대가"/>
      <sheetName val="4.관급자재조서"/>
      <sheetName val="5.운반비산출"/>
      <sheetName val="6.통신감리"/>
      <sheetName val="7.소방감리"/>
      <sheetName val="1.일위산출"/>
      <sheetName val="2.공량산출"/>
      <sheetName val="3.수량계산"/>
      <sheetName val="4.수량산출"/>
      <sheetName val="5.자재단가"/>
      <sheetName val="가설공사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종코드"/>
      <sheetName val="COST"/>
      <sheetName val="자재단가표(제출용)"/>
      <sheetName val="일위산출"/>
      <sheetName val="일위대가"/>
      <sheetName val="일위대가 (무)"/>
      <sheetName val="지장일위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DE"/>
      <sheetName val="1.원가계산(앞장)"/>
      <sheetName val="2공종별예산조서"/>
      <sheetName val="8.일위대가표"/>
      <sheetName val="4.일위대가산출기초 "/>
      <sheetName val="5.공량산출서"/>
      <sheetName val="6.수량계산서"/>
      <sheetName val="8.자재단가표"/>
      <sheetName val="운반비(시흥)"/>
      <sheetName val="운반비집계표 (시흥관급)"/>
      <sheetName val="수량조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계산"/>
      <sheetName val="1.원가계산(앞장)"/>
      <sheetName val="2.수량조서"/>
      <sheetName val="3.일위대가표"/>
      <sheetName val="4.일위대가산출기초 "/>
      <sheetName val="5.공량산출서"/>
      <sheetName val="6.수량계산서"/>
      <sheetName val="8.자재단가표"/>
      <sheetName val="운반비(시흥)"/>
      <sheetName val="운반비집계표 (시흥관급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단가표"/>
      <sheetName val="노임단가"/>
      <sheetName val="수량산출"/>
      <sheetName val="수량계산"/>
      <sheetName val="일위산출"/>
      <sheetName val="공량산출서"/>
      <sheetName val="일위대가"/>
      <sheetName val="일위대가(무)"/>
      <sheetName val="수량조서"/>
      <sheetName val="수량조서(무)"/>
      <sheetName val="원가계산서"/>
      <sheetName val="가설건물"/>
      <sheetName val="소방감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43"/>
  <sheetViews>
    <sheetView showGridLines="0" view="pageBreakPreview" topLeftCell="A10" zoomScale="70" zoomScaleNormal="100" zoomScaleSheetLayoutView="70" workbookViewId="0">
      <selection activeCell="G14" sqref="G14"/>
    </sheetView>
  </sheetViews>
  <sheetFormatPr defaultColWidth="8.875" defaultRowHeight="18"/>
  <cols>
    <col min="1" max="1" width="5.5" style="68" customWidth="1"/>
    <col min="2" max="2" width="11.375" style="68" customWidth="1"/>
    <col min="3" max="3" width="13" style="68" customWidth="1"/>
    <col min="4" max="4" width="47.875" style="68" customWidth="1"/>
    <col min="5" max="6" width="6.375" style="68" customWidth="1"/>
    <col min="7" max="7" width="21.375" style="68" customWidth="1"/>
    <col min="8" max="8" width="3.125" style="68" customWidth="1"/>
    <col min="9" max="9" width="23.625" style="68" customWidth="1"/>
    <col min="10" max="10" width="20.875" style="68" customWidth="1"/>
    <col min="11" max="11" width="4.625" style="68" customWidth="1"/>
    <col min="12" max="12" width="20.125" style="68" customWidth="1"/>
    <col min="13" max="13" width="9" style="68" customWidth="1"/>
    <col min="14" max="14" width="18.125" style="68" bestFit="1" customWidth="1"/>
    <col min="15" max="15" width="11.125" style="68" customWidth="1"/>
    <col min="16" max="16" width="19.625" style="68" customWidth="1"/>
    <col min="17" max="16384" width="8.875" style="68"/>
  </cols>
  <sheetData>
    <row r="1" spans="2:21" ht="15" customHeight="1"/>
    <row r="2" spans="2:21" ht="35.25">
      <c r="B2" s="234" t="s">
        <v>0</v>
      </c>
      <c r="C2" s="234"/>
      <c r="D2" s="234"/>
      <c r="E2" s="234"/>
      <c r="F2" s="234"/>
      <c r="G2" s="234"/>
      <c r="H2" s="234"/>
      <c r="I2" s="234"/>
      <c r="J2" s="234"/>
    </row>
    <row r="3" spans="2:21" ht="56.85" customHeight="1"/>
    <row r="4" spans="2:21" ht="30" customHeight="1">
      <c r="B4" s="69"/>
      <c r="C4" s="70"/>
      <c r="D4" s="71"/>
    </row>
    <row r="5" spans="2:21" ht="30" customHeight="1">
      <c r="B5" s="69"/>
      <c r="C5" s="72"/>
      <c r="D5" s="73"/>
    </row>
    <row r="6" spans="2:21" ht="30" customHeight="1">
      <c r="B6" s="69" t="s">
        <v>1</v>
      </c>
      <c r="C6" s="70" t="s">
        <v>2</v>
      </c>
    </row>
    <row r="7" spans="2:21" ht="30" customHeight="1">
      <c r="B7" s="69" t="s">
        <v>3</v>
      </c>
      <c r="C7" s="70" t="s">
        <v>3</v>
      </c>
      <c r="D7" s="71"/>
    </row>
    <row r="8" spans="2:21" ht="30" customHeight="1">
      <c r="B8" s="69"/>
      <c r="C8" s="74"/>
    </row>
    <row r="9" spans="2:21" ht="5.25" customHeight="1">
      <c r="C9" s="74"/>
      <c r="H9" s="138"/>
      <c r="I9" s="75"/>
      <c r="J9" s="75"/>
    </row>
    <row r="10" spans="2:21" s="69" customFormat="1" ht="26.25" customHeight="1">
      <c r="B10" s="69" t="s">
        <v>4</v>
      </c>
      <c r="C10" s="72" t="s">
        <v>5</v>
      </c>
      <c r="D10" s="73"/>
    </row>
    <row r="11" spans="2:21" s="69" customFormat="1" ht="26.25" customHeight="1">
      <c r="B11" s="69" t="s">
        <v>6</v>
      </c>
      <c r="C11" s="70" t="str">
        <f>"일금"&amp;NUMBERSTRING(H32,1)&amp;"원정(VAT포함)"</f>
        <v>일금일십구억원정(VAT포함)</v>
      </c>
      <c r="D11" s="71"/>
      <c r="E11" s="235">
        <f>H32</f>
        <v>1900000000</v>
      </c>
      <c r="F11" s="235"/>
      <c r="G11" s="235"/>
      <c r="H11" s="69" t="s">
        <v>3</v>
      </c>
      <c r="M11" s="76"/>
      <c r="N11" s="76"/>
      <c r="O11" s="76"/>
      <c r="P11" s="76"/>
      <c r="Q11" s="76"/>
      <c r="R11" s="76"/>
      <c r="S11" s="76"/>
      <c r="T11" s="77"/>
      <c r="U11" s="77"/>
    </row>
    <row r="12" spans="2:21" ht="25.35" customHeight="1" thickBot="1">
      <c r="M12" s="78"/>
      <c r="N12" s="78"/>
      <c r="O12" s="78"/>
      <c r="P12" s="78"/>
      <c r="Q12" s="78"/>
      <c r="R12" s="78"/>
      <c r="S12" s="78"/>
      <c r="T12" s="78"/>
      <c r="U12" s="78"/>
    </row>
    <row r="13" spans="2:21" ht="37.35" customHeight="1" thickBot="1">
      <c r="B13" s="79" t="s">
        <v>7</v>
      </c>
      <c r="C13" s="80" t="s">
        <v>8</v>
      </c>
      <c r="D13" s="80" t="s">
        <v>9</v>
      </c>
      <c r="E13" s="80" t="s">
        <v>10</v>
      </c>
      <c r="F13" s="80" t="s">
        <v>11</v>
      </c>
      <c r="G13" s="80" t="s">
        <v>12</v>
      </c>
      <c r="H13" s="236" t="s">
        <v>13</v>
      </c>
      <c r="I13" s="237"/>
      <c r="J13" s="81" t="s">
        <v>14</v>
      </c>
      <c r="M13" s="78"/>
      <c r="N13" s="78"/>
      <c r="O13" s="78"/>
      <c r="P13" s="78"/>
      <c r="Q13" s="78"/>
      <c r="R13" s="78"/>
      <c r="S13" s="78"/>
      <c r="T13" s="78"/>
      <c r="U13" s="78"/>
    </row>
    <row r="14" spans="2:21" ht="37.35" customHeight="1">
      <c r="B14" s="82">
        <v>1</v>
      </c>
      <c r="C14" s="83" t="s">
        <v>15</v>
      </c>
      <c r="D14" s="84" t="s">
        <v>16</v>
      </c>
      <c r="E14" s="85" t="s">
        <v>17</v>
      </c>
      <c r="F14" s="85">
        <v>1</v>
      </c>
      <c r="G14" s="141">
        <f>(상세내역!J12)+(상세내역!J15)</f>
        <v>625600000</v>
      </c>
      <c r="H14" s="238">
        <f>G14</f>
        <v>625600000</v>
      </c>
      <c r="I14" s="238"/>
      <c r="J14" s="86"/>
      <c r="L14" s="87"/>
      <c r="M14" s="88"/>
      <c r="N14" s="89"/>
      <c r="O14" s="90"/>
      <c r="P14" s="121"/>
    </row>
    <row r="15" spans="2:21" ht="37.35" customHeight="1">
      <c r="B15" s="82">
        <v>2</v>
      </c>
      <c r="C15" s="83" t="s">
        <v>15</v>
      </c>
      <c r="D15" s="84" t="s">
        <v>18</v>
      </c>
      <c r="E15" s="85" t="s">
        <v>17</v>
      </c>
      <c r="F15" s="85">
        <v>1</v>
      </c>
      <c r="G15" s="84">
        <f>(상세내역!J16)+(상세내역!J17)+(상세내역!J18)+(상세내역!J19)</f>
        <v>1274400000</v>
      </c>
      <c r="H15" s="238">
        <f t="shared" ref="H15" si="0">G15</f>
        <v>1274400000</v>
      </c>
      <c r="I15" s="238"/>
      <c r="J15" s="86"/>
      <c r="L15" s="87"/>
      <c r="M15" s="88"/>
      <c r="N15" s="89"/>
      <c r="O15" s="90"/>
      <c r="P15" s="121"/>
    </row>
    <row r="16" spans="2:21" ht="37.35" customHeight="1">
      <c r="B16" s="82"/>
      <c r="C16" s="83"/>
      <c r="D16" s="84"/>
      <c r="E16" s="85"/>
      <c r="F16" s="85"/>
      <c r="G16" s="84"/>
      <c r="H16" s="238"/>
      <c r="I16" s="238"/>
      <c r="J16" s="86"/>
      <c r="L16" s="89"/>
      <c r="M16" s="88"/>
      <c r="N16" s="89"/>
      <c r="O16" s="90"/>
      <c r="P16" s="121"/>
    </row>
    <row r="17" spans="2:16" ht="37.35" customHeight="1">
      <c r="B17" s="82"/>
      <c r="C17" s="83" t="s">
        <v>19</v>
      </c>
      <c r="D17" s="84"/>
      <c r="E17" s="85"/>
      <c r="F17" s="85"/>
      <c r="G17" s="84"/>
      <c r="H17" s="233"/>
      <c r="I17" s="233"/>
      <c r="J17" s="86"/>
      <c r="L17" s="89"/>
      <c r="M17" s="88"/>
      <c r="N17" s="89"/>
      <c r="O17" s="90"/>
      <c r="P17" s="121"/>
    </row>
    <row r="18" spans="2:16" ht="37.35" customHeight="1">
      <c r="B18" s="91"/>
      <c r="C18" s="92"/>
      <c r="D18" s="93" t="s">
        <v>20</v>
      </c>
      <c r="E18" s="92"/>
      <c r="F18" s="94"/>
      <c r="G18" s="94"/>
      <c r="H18" s="227"/>
      <c r="I18" s="228"/>
      <c r="J18" s="97"/>
    </row>
    <row r="19" spans="2:16" ht="37.35" customHeight="1">
      <c r="B19" s="91"/>
      <c r="C19" s="92"/>
      <c r="D19" s="93"/>
      <c r="E19" s="92"/>
      <c r="F19" s="94"/>
      <c r="H19" s="227"/>
      <c r="I19" s="228"/>
      <c r="J19" s="97"/>
    </row>
    <row r="20" spans="2:16" ht="37.35" customHeight="1">
      <c r="B20" s="91"/>
      <c r="C20" s="92"/>
      <c r="D20" s="93"/>
      <c r="E20" s="92"/>
      <c r="F20" s="94"/>
      <c r="G20" s="94"/>
      <c r="H20" s="227"/>
      <c r="I20" s="228"/>
      <c r="J20" s="97"/>
      <c r="M20" s="98"/>
    </row>
    <row r="21" spans="2:16" ht="37.35" customHeight="1">
      <c r="B21" s="91"/>
      <c r="C21" s="92"/>
      <c r="D21" s="93"/>
      <c r="E21" s="92"/>
      <c r="F21" s="94"/>
      <c r="G21" s="94"/>
      <c r="H21" s="227"/>
      <c r="I21" s="228"/>
      <c r="J21" s="97"/>
    </row>
    <row r="22" spans="2:16" ht="37.35" customHeight="1">
      <c r="B22" s="91"/>
      <c r="C22" s="92"/>
      <c r="D22" s="93"/>
      <c r="E22" s="92"/>
      <c r="F22" s="94"/>
      <c r="G22" s="94"/>
      <c r="H22" s="227"/>
      <c r="I22" s="228"/>
      <c r="J22" s="97"/>
    </row>
    <row r="23" spans="2:16" ht="37.35" customHeight="1">
      <c r="B23" s="91"/>
      <c r="C23" s="92"/>
      <c r="D23" s="93"/>
      <c r="E23" s="92"/>
      <c r="F23" s="94"/>
      <c r="G23" s="94"/>
      <c r="H23" s="227"/>
      <c r="I23" s="228"/>
      <c r="J23" s="97"/>
    </row>
    <row r="24" spans="2:16" ht="37.35" customHeight="1">
      <c r="B24" s="91"/>
      <c r="C24" s="92"/>
      <c r="D24" s="93"/>
      <c r="E24" s="92"/>
      <c r="F24" s="94"/>
      <c r="G24" s="94"/>
      <c r="H24" s="95"/>
      <c r="I24" s="96"/>
      <c r="J24" s="97"/>
    </row>
    <row r="25" spans="2:16" ht="37.35" customHeight="1">
      <c r="B25" s="91"/>
      <c r="C25" s="92"/>
      <c r="D25" s="93"/>
      <c r="E25" s="92"/>
      <c r="F25" s="94"/>
      <c r="G25" s="94"/>
      <c r="H25" s="95"/>
      <c r="I25" s="96"/>
      <c r="J25" s="97"/>
    </row>
    <row r="26" spans="2:16" ht="37.35" customHeight="1">
      <c r="B26" s="91"/>
      <c r="C26" s="92"/>
      <c r="D26" s="93"/>
      <c r="E26" s="92"/>
      <c r="F26" s="94"/>
      <c r="G26" s="94"/>
      <c r="H26" s="227"/>
      <c r="I26" s="228"/>
      <c r="J26" s="97"/>
    </row>
    <row r="27" spans="2:16" ht="37.35" customHeight="1">
      <c r="B27" s="91"/>
      <c r="C27" s="92"/>
      <c r="D27" s="93"/>
      <c r="E27" s="92"/>
      <c r="F27" s="94"/>
      <c r="G27" s="94"/>
      <c r="H27" s="227"/>
      <c r="I27" s="228"/>
      <c r="J27" s="97"/>
      <c r="K27" s="99"/>
      <c r="M27" s="100"/>
    </row>
    <row r="28" spans="2:16" ht="37.35" customHeight="1">
      <c r="B28" s="91"/>
      <c r="C28" s="101"/>
      <c r="D28" s="102"/>
      <c r="E28" s="92"/>
      <c r="F28" s="94"/>
      <c r="G28" s="94"/>
      <c r="H28" s="227"/>
      <c r="I28" s="228"/>
      <c r="J28" s="97"/>
    </row>
    <row r="29" spans="2:16" ht="37.35" hidden="1" customHeight="1">
      <c r="B29" s="229" t="s">
        <v>21</v>
      </c>
      <c r="C29" s="230"/>
      <c r="D29" s="83"/>
      <c r="E29" s="103"/>
      <c r="F29" s="103"/>
      <c r="G29" s="103"/>
      <c r="H29" s="231">
        <f>SUM(H14:I28)</f>
        <v>1900000000</v>
      </c>
      <c r="I29" s="232"/>
      <c r="J29" s="104"/>
      <c r="L29" s="105"/>
      <c r="N29" s="106"/>
    </row>
    <row r="30" spans="2:16" ht="37.35" hidden="1" customHeight="1">
      <c r="B30" s="225" t="s">
        <v>22</v>
      </c>
      <c r="C30" s="226"/>
      <c r="D30" s="92"/>
      <c r="E30" s="93"/>
      <c r="F30" s="93"/>
      <c r="G30" s="93"/>
      <c r="H30" s="227"/>
      <c r="I30" s="228"/>
      <c r="J30" s="97"/>
      <c r="L30" s="107"/>
    </row>
    <row r="31" spans="2:16" ht="37.35" customHeight="1" thickBot="1">
      <c r="B31" s="220" t="s">
        <v>23</v>
      </c>
      <c r="C31" s="221"/>
      <c r="D31" s="108"/>
      <c r="E31" s="109"/>
      <c r="F31" s="109"/>
      <c r="G31" s="109"/>
      <c r="H31" s="222">
        <f>SUM(H29:I30)</f>
        <v>1900000000</v>
      </c>
      <c r="I31" s="223"/>
      <c r="J31" s="110"/>
      <c r="L31" s="111"/>
    </row>
    <row r="32" spans="2:16" ht="37.35" customHeight="1" thickBot="1">
      <c r="B32" s="224" t="s">
        <v>24</v>
      </c>
      <c r="C32" s="417"/>
      <c r="D32" s="418"/>
      <c r="E32" s="419"/>
      <c r="F32" s="419"/>
      <c r="G32" s="419"/>
      <c r="H32" s="420">
        <f>ROUNDDOWN(H31*1,-6)</f>
        <v>1900000000</v>
      </c>
      <c r="I32" s="421"/>
      <c r="J32" s="129"/>
      <c r="L32" s="69"/>
      <c r="M32" s="69"/>
    </row>
    <row r="33" spans="2:13" ht="15" customHeight="1">
      <c r="L33" s="105"/>
    </row>
    <row r="34" spans="2:13" ht="27" customHeight="1">
      <c r="B34" s="68" t="s">
        <v>25</v>
      </c>
      <c r="I34" s="219"/>
      <c r="J34" s="219"/>
      <c r="L34" s="69"/>
      <c r="M34" s="69"/>
    </row>
    <row r="35" spans="2:13" ht="27" customHeight="1">
      <c r="I35" s="219"/>
      <c r="J35" s="219"/>
      <c r="L35" s="112"/>
      <c r="M35" s="113"/>
    </row>
    <row r="36" spans="2:13" ht="27" customHeight="1">
      <c r="B36" s="114" t="s">
        <v>3</v>
      </c>
      <c r="I36" s="219"/>
      <c r="J36" s="219"/>
    </row>
    <row r="37" spans="2:13" ht="27" customHeight="1">
      <c r="I37" s="219"/>
      <c r="J37" s="219"/>
    </row>
    <row r="38" spans="2:13" ht="15" customHeight="1">
      <c r="B38" s="68" t="s">
        <v>3</v>
      </c>
    </row>
    <row r="39" spans="2:13" ht="15" customHeight="1">
      <c r="B39" s="115" t="s">
        <v>3</v>
      </c>
    </row>
    <row r="40" spans="2:13" ht="15" customHeight="1">
      <c r="J40" s="116" t="s">
        <v>26</v>
      </c>
    </row>
    <row r="41" spans="2:13" ht="15" customHeight="1"/>
    <row r="42" spans="2:13" ht="15" customHeight="1"/>
    <row r="43" spans="2:13" ht="15" customHeight="1"/>
  </sheetData>
  <mergeCells count="28">
    <mergeCell ref="H17:I17"/>
    <mergeCell ref="B2:J2"/>
    <mergeCell ref="E11:G11"/>
    <mergeCell ref="H13:I13"/>
    <mergeCell ref="H14:I14"/>
    <mergeCell ref="H15:I15"/>
    <mergeCell ref="H16:I16"/>
    <mergeCell ref="B30:C30"/>
    <mergeCell ref="H30:I30"/>
    <mergeCell ref="H18:I18"/>
    <mergeCell ref="H19:I19"/>
    <mergeCell ref="H20:I20"/>
    <mergeCell ref="H21:I21"/>
    <mergeCell ref="H22:I22"/>
    <mergeCell ref="H23:I23"/>
    <mergeCell ref="H26:I26"/>
    <mergeCell ref="H27:I27"/>
    <mergeCell ref="H28:I28"/>
    <mergeCell ref="B29:C29"/>
    <mergeCell ref="H29:I29"/>
    <mergeCell ref="I36:J36"/>
    <mergeCell ref="I37:J37"/>
    <mergeCell ref="B31:C31"/>
    <mergeCell ref="H31:I31"/>
    <mergeCell ref="B32:C32"/>
    <mergeCell ref="H32:I32"/>
    <mergeCell ref="I34:J34"/>
    <mergeCell ref="I35:J35"/>
  </mergeCells>
  <phoneticPr fontId="4" type="noConversion"/>
  <printOptions horizontalCentered="1"/>
  <pageMargins left="0.55118110236220474" right="0.43307086614173229" top="0.78740157480314965" bottom="0.70866141732283472" header="0.59055118110236227" footer="0.31496062992125984"/>
  <pageSetup paperSize="9" scale="5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21"/>
  <sheetViews>
    <sheetView showGridLines="0" view="pageBreakPreview" topLeftCell="A2" zoomScale="90" zoomScaleNormal="100" zoomScaleSheetLayoutView="90" zoomScalePageLayoutView="85" workbookViewId="0">
      <selection activeCell="I12" sqref="I12:I14"/>
    </sheetView>
  </sheetViews>
  <sheetFormatPr defaultColWidth="9" defaultRowHeight="14.25"/>
  <cols>
    <col min="1" max="1" width="1.125" style="48" customWidth="1"/>
    <col min="2" max="2" width="8.875" style="48" customWidth="1"/>
    <col min="3" max="3" width="11.875" style="48" customWidth="1"/>
    <col min="4" max="4" width="14.125" style="48" customWidth="1"/>
    <col min="5" max="6" width="12.625" style="48" customWidth="1"/>
    <col min="7" max="7" width="28.625" style="48" customWidth="1"/>
    <col min="8" max="8" width="11.375" style="48" customWidth="1"/>
    <col min="9" max="9" width="17.125" style="48" customWidth="1"/>
    <col min="10" max="10" width="16.125" style="48" customWidth="1"/>
    <col min="11" max="11" width="9.625" style="48" bestFit="1" customWidth="1"/>
    <col min="12" max="12" width="16.125" style="48" bestFit="1" customWidth="1"/>
    <col min="13" max="13" width="13.125" style="48" customWidth="1"/>
    <col min="14" max="16384" width="9" style="48"/>
  </cols>
  <sheetData>
    <row r="1" spans="2:10" ht="41.25" customHeight="1">
      <c r="B1" s="256" t="s">
        <v>27</v>
      </c>
      <c r="C1" s="256"/>
      <c r="D1" s="256"/>
      <c r="E1" s="256"/>
      <c r="F1" s="256"/>
      <c r="G1" s="256"/>
      <c r="H1" s="256"/>
      <c r="I1" s="256"/>
      <c r="J1" s="256"/>
    </row>
    <row r="2" spans="2:10" ht="41.25" customHeight="1">
      <c r="B2" s="47"/>
      <c r="C2" s="47"/>
      <c r="D2" s="47"/>
      <c r="E2" s="47"/>
      <c r="F2" s="47"/>
      <c r="G2" s="47"/>
      <c r="H2" s="47"/>
      <c r="I2" s="47"/>
      <c r="J2" s="47"/>
    </row>
    <row r="3" spans="2:10" ht="42" hidden="1" customHeight="1">
      <c r="B3" s="257" t="e">
        <f>TEXT("견적금액 : 일금 ",1)&amp;TEXT(NUMBERSTRING(H9,1),1)&amp;TEXT("원정 ",1)&amp;"("&amp;DOLLAR(H9)&amp;TEXT("_VAT포함)",1)</f>
        <v>#REF!</v>
      </c>
      <c r="C3" s="257"/>
      <c r="D3" s="257"/>
      <c r="E3" s="257"/>
      <c r="F3" s="257"/>
      <c r="G3" s="257"/>
      <c r="H3" s="257"/>
      <c r="I3" s="257"/>
      <c r="J3" s="257"/>
    </row>
    <row r="4" spans="2:10" s="54" customFormat="1" ht="31.35" hidden="1" customHeight="1" thickBot="1">
      <c r="B4" s="49" t="s">
        <v>7</v>
      </c>
      <c r="C4" s="50" t="s">
        <v>28</v>
      </c>
      <c r="D4" s="51"/>
      <c r="E4" s="258" t="s">
        <v>29</v>
      </c>
      <c r="F4" s="259"/>
      <c r="G4" s="260"/>
      <c r="H4" s="52" t="s">
        <v>11</v>
      </c>
      <c r="I4" s="52" t="s">
        <v>30</v>
      </c>
      <c r="J4" s="53" t="s">
        <v>31</v>
      </c>
    </row>
    <row r="5" spans="2:10" ht="31.35" hidden="1" customHeight="1" thickTop="1">
      <c r="B5" s="55">
        <v>1</v>
      </c>
      <c r="C5" s="56" t="s">
        <v>32</v>
      </c>
      <c r="D5" s="261" t="s">
        <v>33</v>
      </c>
      <c r="E5" s="262"/>
      <c r="F5" s="262"/>
      <c r="G5" s="263"/>
      <c r="H5" s="57">
        <v>1</v>
      </c>
      <c r="I5" s="58" t="e">
        <f>#REF!</f>
        <v>#REF!</v>
      </c>
      <c r="J5" s="59"/>
    </row>
    <row r="6" spans="2:10" ht="31.35" hidden="1" customHeight="1">
      <c r="B6" s="60">
        <v>2</v>
      </c>
      <c r="C6" s="61" t="s">
        <v>15</v>
      </c>
      <c r="D6" s="264" t="s">
        <v>34</v>
      </c>
      <c r="E6" s="265"/>
      <c r="F6" s="265"/>
      <c r="G6" s="266"/>
      <c r="H6" s="62">
        <v>1</v>
      </c>
      <c r="I6" s="63">
        <f>J21</f>
        <v>1149600000</v>
      </c>
      <c r="J6" s="64"/>
    </row>
    <row r="7" spans="2:10" ht="31.35" hidden="1" customHeight="1">
      <c r="B7" s="251" t="s">
        <v>35</v>
      </c>
      <c r="C7" s="252"/>
      <c r="D7" s="252"/>
      <c r="E7" s="252"/>
      <c r="F7" s="252"/>
      <c r="G7" s="253"/>
      <c r="H7" s="254" t="e">
        <f>SUM(I5:I6)</f>
        <v>#REF!</v>
      </c>
      <c r="I7" s="255"/>
      <c r="J7" s="65"/>
    </row>
    <row r="8" spans="2:10" ht="31.35" hidden="1" customHeight="1">
      <c r="B8" s="251" t="s">
        <v>36</v>
      </c>
      <c r="C8" s="252"/>
      <c r="D8" s="252"/>
      <c r="E8" s="252"/>
      <c r="F8" s="252"/>
      <c r="G8" s="253"/>
      <c r="H8" s="267" t="e">
        <f>H7*10%</f>
        <v>#REF!</v>
      </c>
      <c r="I8" s="268"/>
      <c r="J8" s="66"/>
    </row>
    <row r="9" spans="2:10" ht="31.35" hidden="1" customHeight="1">
      <c r="B9" s="251" t="s">
        <v>37</v>
      </c>
      <c r="C9" s="252"/>
      <c r="D9" s="252"/>
      <c r="E9" s="252"/>
      <c r="F9" s="252"/>
      <c r="G9" s="253"/>
      <c r="H9" s="267" t="e">
        <f>SUM(H7:I8)</f>
        <v>#REF!</v>
      </c>
      <c r="I9" s="268"/>
      <c r="J9" s="66"/>
    </row>
    <row r="10" spans="2:10" ht="23.85" customHeight="1">
      <c r="B10" s="54" t="s">
        <v>38</v>
      </c>
      <c r="C10" s="54"/>
      <c r="D10" s="54"/>
      <c r="E10" s="54"/>
      <c r="F10" s="54"/>
      <c r="G10" s="54"/>
      <c r="H10" s="54"/>
      <c r="I10" s="54"/>
      <c r="J10" s="126" t="s">
        <v>39</v>
      </c>
    </row>
    <row r="11" spans="2:10" ht="23.85" customHeight="1">
      <c r="B11" s="140" t="s">
        <v>40</v>
      </c>
      <c r="C11" s="422" t="s">
        <v>41</v>
      </c>
      <c r="D11" s="422"/>
      <c r="E11" s="423" t="s">
        <v>29</v>
      </c>
      <c r="F11" s="423"/>
      <c r="G11" s="423"/>
      <c r="H11" s="140" t="s">
        <v>42</v>
      </c>
      <c r="I11" s="140" t="s">
        <v>43</v>
      </c>
      <c r="J11" s="140" t="s">
        <v>44</v>
      </c>
    </row>
    <row r="12" spans="2:10" ht="87.6" customHeight="1">
      <c r="B12" s="248"/>
      <c r="C12" s="246" t="s">
        <v>16</v>
      </c>
      <c r="D12" s="246" t="s">
        <v>45</v>
      </c>
      <c r="E12" s="241" t="s">
        <v>46</v>
      </c>
      <c r="F12" s="242"/>
      <c r="G12" s="242"/>
      <c r="H12" s="247">
        <v>1</v>
      </c>
      <c r="I12" s="239">
        <f>('01. 데이터 수집·통합·표준화 개발 용역'!J12)</f>
        <v>254300000</v>
      </c>
      <c r="J12" s="240">
        <f t="shared" ref="J12" si="0">H12*I12</f>
        <v>254300000</v>
      </c>
    </row>
    <row r="13" spans="2:10" ht="57" customHeight="1">
      <c r="B13" s="249"/>
      <c r="C13" s="246"/>
      <c r="D13" s="246"/>
      <c r="E13" s="241" t="s">
        <v>47</v>
      </c>
      <c r="F13" s="242"/>
      <c r="G13" s="242"/>
      <c r="H13" s="247"/>
      <c r="I13" s="239"/>
      <c r="J13" s="240"/>
    </row>
    <row r="14" spans="2:10" ht="61.7" customHeight="1">
      <c r="B14" s="249"/>
      <c r="C14" s="246"/>
      <c r="D14" s="246"/>
      <c r="E14" s="241" t="s">
        <v>48</v>
      </c>
      <c r="F14" s="242"/>
      <c r="G14" s="242"/>
      <c r="H14" s="247"/>
      <c r="I14" s="239"/>
      <c r="J14" s="240"/>
    </row>
    <row r="15" spans="2:10" ht="77.45" customHeight="1">
      <c r="B15" s="249"/>
      <c r="C15" s="246"/>
      <c r="D15" s="136" t="s">
        <v>49</v>
      </c>
      <c r="E15" s="241" t="s">
        <v>50</v>
      </c>
      <c r="F15" s="242"/>
      <c r="G15" s="242"/>
      <c r="H15" s="117">
        <v>1</v>
      </c>
      <c r="I15" s="137">
        <f>('02.데이터 전처리 용역'!J12)</f>
        <v>371300000</v>
      </c>
      <c r="J15" s="119">
        <f>H15*I15</f>
        <v>371300000</v>
      </c>
    </row>
    <row r="16" spans="2:10" ht="90" customHeight="1">
      <c r="B16" s="249"/>
      <c r="C16" s="246" t="s">
        <v>18</v>
      </c>
      <c r="D16" s="136" t="s">
        <v>51</v>
      </c>
      <c r="E16" s="241" t="s">
        <v>52</v>
      </c>
      <c r="F16" s="242"/>
      <c r="G16" s="242"/>
      <c r="H16" s="117">
        <v>1</v>
      </c>
      <c r="I16" s="137">
        <f>('03.데이터 분석 기능 개발 용역'!J12)</f>
        <v>124800000</v>
      </c>
      <c r="J16" s="119">
        <f t="shared" ref="J16" si="1">H16*I16</f>
        <v>124800000</v>
      </c>
    </row>
    <row r="17" spans="2:12" ht="72" customHeight="1">
      <c r="B17" s="249"/>
      <c r="C17" s="246"/>
      <c r="D17" s="136" t="s">
        <v>53</v>
      </c>
      <c r="E17" s="241" t="s">
        <v>54</v>
      </c>
      <c r="F17" s="242"/>
      <c r="G17" s="242"/>
      <c r="H17" s="117">
        <v>1</v>
      </c>
      <c r="I17" s="118">
        <f>('04. LLM 기반 자연어 처리 응용 기능 용역'!J12)</f>
        <v>608700000</v>
      </c>
      <c r="J17" s="119">
        <f t="shared" ref="J17:J19" si="2">H17*I17</f>
        <v>608700000</v>
      </c>
    </row>
    <row r="18" spans="2:12" ht="90" customHeight="1">
      <c r="B18" s="249"/>
      <c r="C18" s="246"/>
      <c r="D18" s="136" t="s">
        <v>55</v>
      </c>
      <c r="E18" s="243" t="s">
        <v>56</v>
      </c>
      <c r="F18" s="245"/>
      <c r="G18" s="245"/>
      <c r="H18" s="117">
        <v>1</v>
      </c>
      <c r="I18" s="118">
        <f>('05.AI Assistant 기능 개발 용역'!J12)</f>
        <v>142600000</v>
      </c>
      <c r="J18" s="119">
        <f t="shared" si="2"/>
        <v>142600000</v>
      </c>
    </row>
    <row r="19" spans="2:12" ht="90" customHeight="1">
      <c r="B19" s="249"/>
      <c r="C19" s="246"/>
      <c r="D19" s="136" t="s">
        <v>57</v>
      </c>
      <c r="E19" s="243" t="s">
        <v>58</v>
      </c>
      <c r="F19" s="243"/>
      <c r="G19" s="243"/>
      <c r="H19" s="117">
        <v>1</v>
      </c>
      <c r="I19" s="118">
        <f>('06.대시보드 및 시각화 개발 용역'!J12)</f>
        <v>398300000</v>
      </c>
      <c r="J19" s="119">
        <f t="shared" si="2"/>
        <v>398300000</v>
      </c>
    </row>
    <row r="20" spans="2:12" ht="90" customHeight="1">
      <c r="B20" s="249"/>
      <c r="C20" s="136" t="s">
        <v>59</v>
      </c>
      <c r="D20" s="136" t="s">
        <v>60</v>
      </c>
      <c r="E20" s="243" t="s">
        <v>61</v>
      </c>
      <c r="F20" s="243"/>
      <c r="G20" s="243"/>
      <c r="H20" s="117">
        <v>1</v>
      </c>
      <c r="I20" s="118">
        <f>('07. 데이터 표준화 모델'!F19)</f>
        <v>100328541.71999998</v>
      </c>
      <c r="J20" s="119">
        <f t="shared" ref="J20" si="3">H20*I20</f>
        <v>100328541.71999998</v>
      </c>
    </row>
    <row r="21" spans="2:12" ht="23.85" customHeight="1">
      <c r="B21" s="250"/>
      <c r="C21" s="244" t="s">
        <v>62</v>
      </c>
      <c r="D21" s="244"/>
      <c r="E21" s="244"/>
      <c r="F21" s="244"/>
      <c r="G21" s="244"/>
      <c r="H21" s="424"/>
      <c r="I21" s="425"/>
      <c r="J21" s="426">
        <f>SUM(J17:J19)</f>
        <v>1149600000</v>
      </c>
      <c r="L21" s="67"/>
    </row>
  </sheetData>
  <mergeCells count="30">
    <mergeCell ref="B12:B21"/>
    <mergeCell ref="E16:G16"/>
    <mergeCell ref="B7:G7"/>
    <mergeCell ref="H7:I7"/>
    <mergeCell ref="B1:J1"/>
    <mergeCell ref="B3:J3"/>
    <mergeCell ref="E4:G4"/>
    <mergeCell ref="D5:G5"/>
    <mergeCell ref="D6:G6"/>
    <mergeCell ref="E17:G17"/>
    <mergeCell ref="B8:G8"/>
    <mergeCell ref="H8:I8"/>
    <mergeCell ref="B9:G9"/>
    <mergeCell ref="H9:I9"/>
    <mergeCell ref="C11:D11"/>
    <mergeCell ref="E11:G11"/>
    <mergeCell ref="C21:G21"/>
    <mergeCell ref="E18:G18"/>
    <mergeCell ref="E12:G12"/>
    <mergeCell ref="D12:D14"/>
    <mergeCell ref="H12:H14"/>
    <mergeCell ref="E19:G19"/>
    <mergeCell ref="E15:G15"/>
    <mergeCell ref="C16:C19"/>
    <mergeCell ref="C12:C15"/>
    <mergeCell ref="I12:I14"/>
    <mergeCell ref="J12:J14"/>
    <mergeCell ref="E14:G14"/>
    <mergeCell ref="E13:G13"/>
    <mergeCell ref="E20:G20"/>
  </mergeCells>
  <phoneticPr fontId="4" type="noConversion"/>
  <printOptions horizontalCentered="1" verticalCentered="1"/>
  <pageMargins left="0.25" right="0.25" top="0.75" bottom="0.75" header="0.3" footer="0.3"/>
  <pageSetup paperSize="9" scale="6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5"/>
  <sheetViews>
    <sheetView view="pageBreakPreview" zoomScale="115" zoomScaleNormal="85" zoomScaleSheetLayoutView="115" workbookViewId="0">
      <selection activeCell="A10" sqref="A10:H10"/>
    </sheetView>
  </sheetViews>
  <sheetFormatPr defaultRowHeight="16.5"/>
  <cols>
    <col min="10" max="10" width="11.5" bestFit="1" customWidth="1"/>
    <col min="13" max="13" width="127.625" bestFit="1" customWidth="1"/>
  </cols>
  <sheetData>
    <row r="1" spans="1:11" ht="26.25">
      <c r="A1" s="324" t="s">
        <v>63</v>
      </c>
      <c r="B1" s="324"/>
      <c r="C1" s="324"/>
      <c r="D1" s="325"/>
      <c r="E1" s="325"/>
      <c r="F1" s="325"/>
      <c r="G1" s="325"/>
      <c r="H1" s="325"/>
      <c r="I1" s="325"/>
      <c r="J1" s="325"/>
      <c r="K1" s="325"/>
    </row>
    <row r="2" spans="1:11">
      <c r="A2" s="1"/>
      <c r="B2" s="1"/>
      <c r="C2" s="1"/>
      <c r="D2" s="2"/>
      <c r="E2" s="2"/>
      <c r="F2" s="2"/>
      <c r="G2" s="2"/>
      <c r="H2" s="2"/>
      <c r="I2" s="2"/>
      <c r="J2" s="2"/>
      <c r="K2" s="3" t="s">
        <v>64</v>
      </c>
    </row>
    <row r="3" spans="1:11">
      <c r="A3" s="4"/>
      <c r="B3" s="4"/>
      <c r="C3" s="4"/>
      <c r="D3" s="2"/>
      <c r="E3" s="2"/>
      <c r="F3" s="2"/>
      <c r="G3" s="2"/>
      <c r="H3" s="2"/>
      <c r="I3" s="2"/>
      <c r="J3" s="2"/>
      <c r="K3" s="2"/>
    </row>
    <row r="4" spans="1:11">
      <c r="A4" s="5" t="s">
        <v>65</v>
      </c>
      <c r="B4" s="5"/>
      <c r="C4" s="5"/>
      <c r="D4" s="6"/>
      <c r="E4" s="6"/>
      <c r="F4" s="6"/>
      <c r="G4" s="6"/>
      <c r="H4" s="6"/>
      <c r="I4" s="6"/>
      <c r="J4" s="305" t="s">
        <v>66</v>
      </c>
      <c r="K4" s="305"/>
    </row>
    <row r="5" spans="1:11">
      <c r="A5" s="326" t="s">
        <v>67</v>
      </c>
      <c r="B5" s="327"/>
      <c r="C5" s="330" t="s">
        <v>68</v>
      </c>
      <c r="D5" s="331"/>
      <c r="E5" s="334" t="s">
        <v>69</v>
      </c>
      <c r="F5" s="301"/>
      <c r="G5" s="301"/>
      <c r="H5" s="301"/>
      <c r="I5" s="327"/>
      <c r="J5" s="335" t="s">
        <v>70</v>
      </c>
      <c r="K5" s="337" t="s">
        <v>71</v>
      </c>
    </row>
    <row r="6" spans="1:11">
      <c r="A6" s="328"/>
      <c r="B6" s="329"/>
      <c r="C6" s="332"/>
      <c r="D6" s="333"/>
      <c r="E6" s="7" t="s">
        <v>72</v>
      </c>
      <c r="F6" s="8" t="s">
        <v>73</v>
      </c>
      <c r="G6" s="7" t="s">
        <v>74</v>
      </c>
      <c r="H6" s="8" t="s">
        <v>75</v>
      </c>
      <c r="I6" s="7" t="s">
        <v>76</v>
      </c>
      <c r="J6" s="336"/>
      <c r="K6" s="338"/>
    </row>
    <row r="7" spans="1:11">
      <c r="A7" s="339">
        <f>I31</f>
        <v>268.3</v>
      </c>
      <c r="B7" s="340"/>
      <c r="C7" s="341">
        <v>605784</v>
      </c>
      <c r="D7" s="342"/>
      <c r="E7" s="9">
        <f>J22</f>
        <v>1.28</v>
      </c>
      <c r="F7" s="10">
        <f>J23</f>
        <v>0.94</v>
      </c>
      <c r="G7" s="11">
        <f>J24</f>
        <v>1</v>
      </c>
      <c r="H7" s="12">
        <f>J25</f>
        <v>1</v>
      </c>
      <c r="I7" s="10">
        <f>J26</f>
        <v>1</v>
      </c>
      <c r="J7" s="13">
        <f>PRODUCT(A7:I7)</f>
        <v>195558318.55104002</v>
      </c>
      <c r="K7" s="14"/>
    </row>
    <row r="8" spans="1:11">
      <c r="A8" s="343" t="s">
        <v>77</v>
      </c>
      <c r="B8" s="344"/>
      <c r="C8" s="344"/>
      <c r="D8" s="344"/>
      <c r="E8" s="344"/>
      <c r="F8" s="344"/>
      <c r="G8" s="344"/>
      <c r="H8" s="344"/>
      <c r="I8" s="15"/>
      <c r="J8" s="16">
        <f>SUM(J7:K7)</f>
        <v>195558318.55104002</v>
      </c>
      <c r="K8" s="17"/>
    </row>
    <row r="9" spans="1:11">
      <c r="A9" s="345" t="s">
        <v>78</v>
      </c>
      <c r="B9" s="346"/>
      <c r="C9" s="346"/>
      <c r="D9" s="346"/>
      <c r="E9" s="346"/>
      <c r="F9" s="346"/>
      <c r="G9" s="346"/>
      <c r="H9" s="346"/>
      <c r="I9" s="218">
        <v>0.192</v>
      </c>
      <c r="J9" s="19">
        <f>J8*I9</f>
        <v>37547197.161799684</v>
      </c>
      <c r="K9" s="20"/>
    </row>
    <row r="10" spans="1:11">
      <c r="A10" s="347" t="s">
        <v>79</v>
      </c>
      <c r="B10" s="348"/>
      <c r="C10" s="348"/>
      <c r="D10" s="348"/>
      <c r="E10" s="348"/>
      <c r="F10" s="348"/>
      <c r="G10" s="348"/>
      <c r="H10" s="348"/>
      <c r="I10" s="21"/>
      <c r="J10" s="22">
        <v>-1883000</v>
      </c>
      <c r="K10" s="23"/>
    </row>
    <row r="11" spans="1:11">
      <c r="A11" s="303" t="s">
        <v>80</v>
      </c>
      <c r="B11" s="304"/>
      <c r="C11" s="304"/>
      <c r="D11" s="304"/>
      <c r="E11" s="304"/>
      <c r="F11" s="304"/>
      <c r="G11" s="304"/>
      <c r="H11" s="304"/>
      <c r="I11" s="24"/>
      <c r="J11" s="25">
        <f>J8+J9+J10</f>
        <v>231222515.71283972</v>
      </c>
      <c r="K11" s="26"/>
    </row>
    <row r="12" spans="1:11">
      <c r="A12" s="303" t="s">
        <v>81</v>
      </c>
      <c r="B12" s="304"/>
      <c r="C12" s="304"/>
      <c r="D12" s="304"/>
      <c r="E12" s="304"/>
      <c r="F12" s="304"/>
      <c r="G12" s="304"/>
      <c r="H12" s="304"/>
      <c r="I12" s="24"/>
      <c r="J12" s="25">
        <f>ROUNDDOWN(J11*1.1, -5)</f>
        <v>254300000</v>
      </c>
      <c r="K12" s="26"/>
    </row>
    <row r="13" spans="1:11">
      <c r="A13" s="27"/>
      <c r="B13" s="27"/>
      <c r="C13" s="27"/>
      <c r="D13" s="6"/>
      <c r="E13" s="6"/>
      <c r="F13" s="6"/>
      <c r="G13" s="6"/>
      <c r="H13" s="6"/>
      <c r="I13" s="6"/>
      <c r="J13" s="6"/>
      <c r="K13" s="28"/>
    </row>
    <row r="14" spans="1:11">
      <c r="A14" s="29" t="s">
        <v>82</v>
      </c>
      <c r="B14" s="5"/>
      <c r="C14" s="5"/>
      <c r="D14" s="6"/>
      <c r="E14" s="6"/>
      <c r="F14" s="6"/>
      <c r="G14" s="6"/>
      <c r="H14" s="6"/>
      <c r="I14" s="6"/>
      <c r="J14" s="305" t="s">
        <v>66</v>
      </c>
      <c r="K14" s="305"/>
    </row>
    <row r="15" spans="1:11">
      <c r="A15" s="306" t="s">
        <v>83</v>
      </c>
      <c r="B15" s="307"/>
      <c r="C15" s="308" t="s">
        <v>84</v>
      </c>
      <c r="D15" s="308"/>
      <c r="E15" s="308"/>
      <c r="F15" s="308"/>
      <c r="G15" s="308"/>
      <c r="H15" s="308"/>
      <c r="I15" s="308"/>
      <c r="J15" s="309" t="s">
        <v>85</v>
      </c>
      <c r="K15" s="310"/>
    </row>
    <row r="16" spans="1:11" ht="29.45" customHeight="1">
      <c r="A16" s="311"/>
      <c r="B16" s="312"/>
      <c r="C16" s="313"/>
      <c r="D16" s="314"/>
      <c r="E16" s="314"/>
      <c r="F16" s="314"/>
      <c r="G16" s="314"/>
      <c r="H16" s="314"/>
      <c r="I16" s="314"/>
      <c r="J16" s="315"/>
      <c r="K16" s="316"/>
    </row>
    <row r="17" spans="1:14">
      <c r="A17" s="317"/>
      <c r="B17" s="318"/>
      <c r="C17" s="319"/>
      <c r="D17" s="319"/>
      <c r="E17" s="319"/>
      <c r="F17" s="319"/>
      <c r="G17" s="319"/>
      <c r="H17" s="319"/>
      <c r="I17" s="319"/>
      <c r="J17" s="320"/>
      <c r="K17" s="321"/>
    </row>
    <row r="18" spans="1:14">
      <c r="A18" s="303" t="s">
        <v>86</v>
      </c>
      <c r="B18" s="304"/>
      <c r="C18" s="304"/>
      <c r="D18" s="304"/>
      <c r="E18" s="304"/>
      <c r="F18" s="304"/>
      <c r="G18" s="304"/>
      <c r="H18" s="304"/>
      <c r="I18" s="304"/>
      <c r="J18" s="322">
        <f>SUM(J16:K17)</f>
        <v>0</v>
      </c>
      <c r="K18" s="323"/>
    </row>
    <row r="19" spans="1:1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4">
      <c r="A20" s="5" t="s">
        <v>87</v>
      </c>
      <c r="B20" s="5"/>
      <c r="C20" s="5"/>
      <c r="D20" s="27"/>
      <c r="E20" s="27"/>
      <c r="F20" s="27"/>
      <c r="G20" s="27"/>
      <c r="H20" s="27"/>
      <c r="I20" s="27"/>
      <c r="J20" s="6"/>
      <c r="K20" s="6"/>
    </row>
    <row r="21" spans="1:14">
      <c r="A21" s="299" t="s">
        <v>88</v>
      </c>
      <c r="B21" s="300"/>
      <c r="C21" s="300" t="s">
        <v>89</v>
      </c>
      <c r="D21" s="300"/>
      <c r="E21" s="300"/>
      <c r="F21" s="300"/>
      <c r="G21" s="300"/>
      <c r="H21" s="300"/>
      <c r="I21" s="300"/>
      <c r="J21" s="301" t="s">
        <v>69</v>
      </c>
      <c r="K21" s="302"/>
    </row>
    <row r="22" spans="1:14" ht="35.25" customHeight="1">
      <c r="A22" s="288" t="s">
        <v>90</v>
      </c>
      <c r="B22" s="289"/>
      <c r="C22" s="295" t="str">
        <f>"= 0.4057 x (log e("&amp;A7&amp;") - 7.1978)^2 + 0.8878
   (단, 500FP 미만 1.28, 3,000FP 초과 1.153 적용)"</f>
        <v>= 0.4057 x (log e(268.3) - 7.1978)^2 + 0.8878
   (단, 500FP 미만 1.28, 3,000FP 초과 1.153 적용)</v>
      </c>
      <c r="D22" s="296"/>
      <c r="E22" s="296"/>
      <c r="F22" s="296"/>
      <c r="G22" s="296"/>
      <c r="H22" s="296"/>
      <c r="I22" s="289"/>
      <c r="J22" s="297">
        <f>IF(A7&lt;500,1.28,IF(A7&gt;3000,1.153,0.4057*(LN(A7)-7.1978)^2+0.8878))</f>
        <v>1.28</v>
      </c>
      <c r="K22" s="298"/>
    </row>
    <row r="23" spans="1:14">
      <c r="A23" s="288" t="s">
        <v>73</v>
      </c>
      <c r="B23" s="289"/>
      <c r="C23" s="290" t="s">
        <v>91</v>
      </c>
      <c r="D23" s="291"/>
      <c r="E23" s="291"/>
      <c r="F23" s="291"/>
      <c r="G23" s="291"/>
      <c r="H23" s="291"/>
      <c r="I23" s="292"/>
      <c r="J23" s="293">
        <f>VLOOKUP(C23,M23:N27,2,1)</f>
        <v>0.94</v>
      </c>
      <c r="K23" s="294"/>
      <c r="M23" t="s">
        <v>92</v>
      </c>
      <c r="N23">
        <v>0.88</v>
      </c>
    </row>
    <row r="24" spans="1:14">
      <c r="A24" s="288" t="s">
        <v>93</v>
      </c>
      <c r="B24" s="289"/>
      <c r="C24" s="290" t="s">
        <v>94</v>
      </c>
      <c r="D24" s="291"/>
      <c r="E24" s="291"/>
      <c r="F24" s="291"/>
      <c r="G24" s="291"/>
      <c r="H24" s="291"/>
      <c r="I24" s="292"/>
      <c r="J24" s="293">
        <f>VLOOKUP(C24,M28:N32,2,1)</f>
        <v>1</v>
      </c>
      <c r="K24" s="294"/>
      <c r="M24" t="s">
        <v>91</v>
      </c>
      <c r="N24">
        <v>0.94</v>
      </c>
    </row>
    <row r="25" spans="1:14" ht="31.5" customHeight="1">
      <c r="A25" s="288" t="s">
        <v>95</v>
      </c>
      <c r="B25" s="289"/>
      <c r="C25" s="290" t="s">
        <v>96</v>
      </c>
      <c r="D25" s="291"/>
      <c r="E25" s="291"/>
      <c r="F25" s="291"/>
      <c r="G25" s="291"/>
      <c r="H25" s="291"/>
      <c r="I25" s="292"/>
      <c r="J25" s="293">
        <f>VLOOKUP(C25,M33:N37,2,1)</f>
        <v>1</v>
      </c>
      <c r="K25" s="294"/>
      <c r="M25" t="s">
        <v>97</v>
      </c>
      <c r="N25">
        <v>1</v>
      </c>
    </row>
    <row r="26" spans="1:14">
      <c r="A26" s="272" t="s">
        <v>98</v>
      </c>
      <c r="B26" s="273"/>
      <c r="C26" s="274" t="s">
        <v>99</v>
      </c>
      <c r="D26" s="275"/>
      <c r="E26" s="275"/>
      <c r="F26" s="275"/>
      <c r="G26" s="275"/>
      <c r="H26" s="275"/>
      <c r="I26" s="276"/>
      <c r="J26" s="277">
        <f>VLOOKUP(C26,M38:N42,2,1)</f>
        <v>1</v>
      </c>
      <c r="K26" s="278"/>
      <c r="M26" t="s">
        <v>100</v>
      </c>
      <c r="N26">
        <v>1.06</v>
      </c>
    </row>
    <row r="27" spans="1:14">
      <c r="A27" s="30"/>
      <c r="B27" s="30"/>
      <c r="C27" s="30"/>
      <c r="D27" s="30"/>
      <c r="E27" s="30"/>
      <c r="F27" s="30"/>
      <c r="G27" s="30"/>
      <c r="H27" s="30"/>
      <c r="I27" s="30"/>
      <c r="J27" s="31"/>
      <c r="K27" s="31"/>
      <c r="M27" t="s">
        <v>101</v>
      </c>
      <c r="N27">
        <v>1.1200000000000001</v>
      </c>
    </row>
    <row r="28" spans="1:14">
      <c r="A28" s="32" t="s">
        <v>102</v>
      </c>
      <c r="B28" s="32"/>
      <c r="C28" s="32"/>
      <c r="D28" s="33"/>
      <c r="E28" s="33"/>
      <c r="F28" s="33"/>
      <c r="G28" s="33"/>
      <c r="H28" s="33"/>
      <c r="I28" s="33"/>
      <c r="J28" s="33"/>
      <c r="K28" s="33"/>
      <c r="M28" t="s">
        <v>103</v>
      </c>
      <c r="N28">
        <v>0.91</v>
      </c>
    </row>
    <row r="29" spans="1:14">
      <c r="A29" s="34" t="s">
        <v>83</v>
      </c>
      <c r="B29" s="35"/>
      <c r="C29" s="35"/>
      <c r="D29" s="34" t="s">
        <v>104</v>
      </c>
      <c r="E29" s="34" t="s">
        <v>105</v>
      </c>
      <c r="F29" s="34" t="s">
        <v>106</v>
      </c>
      <c r="G29" s="34" t="s">
        <v>107</v>
      </c>
      <c r="H29" s="34" t="s">
        <v>108</v>
      </c>
      <c r="I29" s="279" t="s">
        <v>109</v>
      </c>
      <c r="J29" s="280"/>
      <c r="K29" s="281"/>
      <c r="M29" t="s">
        <v>110</v>
      </c>
      <c r="N29">
        <v>0.95</v>
      </c>
    </row>
    <row r="30" spans="1:14">
      <c r="A30" s="36" t="s">
        <v>111</v>
      </c>
      <c r="B30" s="37"/>
      <c r="C30" s="37"/>
      <c r="D30" s="38">
        <f>COUNTIF('01. 데이터 수집·통합·표준화 FP산정'!E4:E73,"ILF")</f>
        <v>15</v>
      </c>
      <c r="E30" s="38">
        <f>COUNTIF('01. 데이터 수집·통합·표준화 FP산정'!E4:E73,"EIF")</f>
        <v>7</v>
      </c>
      <c r="F30" s="38">
        <f>COUNTIF('01. 데이터 수집·통합·표준화 FP산정'!E4:E73,"EI")</f>
        <v>10</v>
      </c>
      <c r="G30" s="38">
        <f>COUNTIF('01. 데이터 수집·통합·표준화 FP산정'!E4:E73,"EO")</f>
        <v>6</v>
      </c>
      <c r="H30" s="38">
        <f>COUNTIF('01. 데이터 수집·통합·표준화 FP산정'!E4:E73,"EQ")</f>
        <v>12</v>
      </c>
      <c r="I30" s="282">
        <f>SUM(D30:H30)</f>
        <v>50</v>
      </c>
      <c r="J30" s="283"/>
      <c r="K30" s="284"/>
      <c r="M30" t="s">
        <v>94</v>
      </c>
      <c r="N30">
        <v>1</v>
      </c>
    </row>
    <row r="31" spans="1:14">
      <c r="A31" s="36" t="s">
        <v>112</v>
      </c>
      <c r="B31" s="37"/>
      <c r="C31" s="37"/>
      <c r="D31" s="38">
        <f>SUMIF('01. 데이터 수집·통합·표준화 FP산정'!E4:E79,"ILF",'01. 데이터 수집·통합·표준화 FP산정'!$F4:$F79)</f>
        <v>112.5</v>
      </c>
      <c r="E31" s="38">
        <f>SUMIF('01. 데이터 수집·통합·표준화 FP산정'!E4:E79,"EIF",'01. 데이터 수집·통합·표준화 FP산정'!$F4:$F79)</f>
        <v>37.799999999999997</v>
      </c>
      <c r="F31" s="38">
        <f>SUMIF('01. 데이터 수집·통합·표준화 FP산정'!E4:E79,"EI",'01. 데이터 수집·통합·표준화 FP산정'!$F4:$F79)</f>
        <v>40</v>
      </c>
      <c r="G31" s="38">
        <f>SUMIF('01. 데이터 수집·통합·표준화 FP산정'!E4:E79,"EO",'01. 데이터 수집·통합·표준화 FP산정'!$F4:$F79)</f>
        <v>31.2</v>
      </c>
      <c r="H31" s="38">
        <f>SUMIF('01. 데이터 수집·통합·표준화 FP산정'!E4:E79,"EQ",'01. 데이터 수집·통합·표준화 FP산정'!$F4:$F79)</f>
        <v>46.79999999999999</v>
      </c>
      <c r="I31" s="285">
        <f>SUM(D31:H31)</f>
        <v>268.3</v>
      </c>
      <c r="J31" s="286"/>
      <c r="K31" s="287"/>
      <c r="M31" t="s">
        <v>113</v>
      </c>
      <c r="N31">
        <v>1.05</v>
      </c>
    </row>
    <row r="32" spans="1:14">
      <c r="A32" s="39" t="s">
        <v>114</v>
      </c>
      <c r="B32" s="40"/>
      <c r="C32" s="40"/>
      <c r="D32" s="41">
        <f>IF($I$31&gt;0,D31/$I$31,"-")</f>
        <v>0.41930674617964964</v>
      </c>
      <c r="E32" s="41">
        <f t="shared" ref="E32:H32" si="0">IF($I$31&gt;0,E31/$I$31,"-")</f>
        <v>0.14088706671636225</v>
      </c>
      <c r="F32" s="41">
        <f t="shared" si="0"/>
        <v>0.14908684308609765</v>
      </c>
      <c r="G32" s="41">
        <f t="shared" si="0"/>
        <v>0.11628773760715616</v>
      </c>
      <c r="H32" s="41">
        <f t="shared" si="0"/>
        <v>0.17443160641073421</v>
      </c>
      <c r="I32" s="269">
        <f t="shared" ref="I32" si="1">SUM(D32:H32)</f>
        <v>0.99999999999999989</v>
      </c>
      <c r="J32" s="270"/>
      <c r="K32" s="271"/>
      <c r="M32" t="s">
        <v>115</v>
      </c>
      <c r="N32">
        <v>1.0900000000000001</v>
      </c>
    </row>
    <row r="33" spans="1:14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M33" t="s">
        <v>116</v>
      </c>
      <c r="N33">
        <v>0.94</v>
      </c>
    </row>
    <row r="34" spans="1:1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M34" t="s">
        <v>96</v>
      </c>
      <c r="N34">
        <v>1</v>
      </c>
    </row>
    <row r="35" spans="1:14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M35" t="s">
        <v>117</v>
      </c>
      <c r="N35">
        <v>1.06</v>
      </c>
    </row>
    <row r="36" spans="1:14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M36" t="s">
        <v>118</v>
      </c>
      <c r="N36">
        <v>1.1299999999999999</v>
      </c>
    </row>
    <row r="37" spans="1:14">
      <c r="M37" t="s">
        <v>119</v>
      </c>
      <c r="N37">
        <v>1.19</v>
      </c>
    </row>
    <row r="38" spans="1:14">
      <c r="M38" t="s">
        <v>120</v>
      </c>
      <c r="N38">
        <v>0.97</v>
      </c>
    </row>
    <row r="39" spans="1:14">
      <c r="M39" t="s">
        <v>99</v>
      </c>
      <c r="N39">
        <v>1</v>
      </c>
    </row>
    <row r="40" spans="1:14">
      <c r="M40" t="s">
        <v>121</v>
      </c>
      <c r="N40">
        <v>1.03</v>
      </c>
    </row>
    <row r="41" spans="1:14">
      <c r="M41" t="s">
        <v>122</v>
      </c>
      <c r="N41">
        <v>1.06</v>
      </c>
    </row>
    <row r="42" spans="1:14">
      <c r="M42" t="s">
        <v>123</v>
      </c>
      <c r="N42">
        <v>1.08</v>
      </c>
    </row>
    <row r="44" spans="1:14">
      <c r="A44" t="s">
        <v>124</v>
      </c>
    </row>
    <row r="45" spans="1:14">
      <c r="A45" s="44" t="s">
        <v>125</v>
      </c>
    </row>
  </sheetData>
  <mergeCells count="48">
    <mergeCell ref="A11:H11"/>
    <mergeCell ref="A1:K1"/>
    <mergeCell ref="J4:K4"/>
    <mergeCell ref="A5:B6"/>
    <mergeCell ref="C5:D6"/>
    <mergeCell ref="E5:I5"/>
    <mergeCell ref="J5:J6"/>
    <mergeCell ref="K5:K6"/>
    <mergeCell ref="A7:B7"/>
    <mergeCell ref="C7:D7"/>
    <mergeCell ref="A8:H8"/>
    <mergeCell ref="A9:H9"/>
    <mergeCell ref="A10:H10"/>
    <mergeCell ref="A21:B21"/>
    <mergeCell ref="C21:I21"/>
    <mergeCell ref="J21:K21"/>
    <mergeCell ref="A12:H12"/>
    <mergeCell ref="J14:K14"/>
    <mergeCell ref="A15:B15"/>
    <mergeCell ref="C15:I15"/>
    <mergeCell ref="J15:K15"/>
    <mergeCell ref="A16:B16"/>
    <mergeCell ref="C16:I16"/>
    <mergeCell ref="J16:K16"/>
    <mergeCell ref="A17:B17"/>
    <mergeCell ref="C17:I17"/>
    <mergeCell ref="J17:K17"/>
    <mergeCell ref="A18:I18"/>
    <mergeCell ref="J18:K18"/>
    <mergeCell ref="A22:B22"/>
    <mergeCell ref="C22:I22"/>
    <mergeCell ref="J22:K22"/>
    <mergeCell ref="A23:B23"/>
    <mergeCell ref="C23:I23"/>
    <mergeCell ref="J23:K23"/>
    <mergeCell ref="A24:B24"/>
    <mergeCell ref="C24:I24"/>
    <mergeCell ref="J24:K24"/>
    <mergeCell ref="A25:B25"/>
    <mergeCell ref="C25:I25"/>
    <mergeCell ref="J25:K25"/>
    <mergeCell ref="I32:K32"/>
    <mergeCell ref="A26:B26"/>
    <mergeCell ref="C26:I26"/>
    <mergeCell ref="J26:K26"/>
    <mergeCell ref="I29:K29"/>
    <mergeCell ref="I30:K30"/>
    <mergeCell ref="I31:K31"/>
  </mergeCells>
  <phoneticPr fontId="4" type="noConversion"/>
  <dataValidations count="4">
    <dataValidation type="list" allowBlank="1" showInputMessage="1" showErrorMessage="1" sqref="C23:I23" xr:uid="{00000000-0002-0000-0200-000000000000}">
      <formula1>$M$23:$M$27</formula1>
    </dataValidation>
    <dataValidation type="list" allowBlank="1" showInputMessage="1" showErrorMessage="1" sqref="C24:I24" xr:uid="{00000000-0002-0000-0200-000001000000}">
      <formula1>$M$28:$M$32</formula1>
    </dataValidation>
    <dataValidation type="list" allowBlank="1" showInputMessage="1" showErrorMessage="1" sqref="C25:I25" xr:uid="{00000000-0002-0000-0200-000002000000}">
      <formula1>$M$33:$M$37</formula1>
    </dataValidation>
    <dataValidation type="list" allowBlank="1" showInputMessage="1" showErrorMessage="1" sqref="C26:I26" xr:uid="{00000000-0002-0000-0200-000003000000}">
      <formula1>$M$38:$M$42</formula1>
    </dataValidation>
  </dataValidations>
  <pageMargins left="0.7" right="0.7" top="0.75" bottom="0.75" header="0.3" footer="0.3"/>
  <pageSetup paperSize="9" scale="79" orientation="portrait" r:id="rId1"/>
  <colBreaks count="1" manualBreakCount="1">
    <brk id="1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0"/>
  <sheetViews>
    <sheetView view="pageBreakPreview" topLeftCell="A10" zoomScaleNormal="55" zoomScaleSheetLayoutView="100" workbookViewId="0">
      <selection activeCell="D27" sqref="D27"/>
    </sheetView>
  </sheetViews>
  <sheetFormatPr defaultRowHeight="16.5"/>
  <cols>
    <col min="1" max="1" width="17.625" customWidth="1"/>
    <col min="2" max="2" width="20" bestFit="1" customWidth="1"/>
    <col min="3" max="3" width="26.875" customWidth="1"/>
    <col min="4" max="4" width="35.125" customWidth="1"/>
    <col min="5" max="5" width="23.5" bestFit="1" customWidth="1"/>
    <col min="6" max="7" width="11.625" customWidth="1"/>
  </cols>
  <sheetData>
    <row r="1" spans="1:7" ht="45.75" thickBot="1">
      <c r="A1" s="354" t="s">
        <v>126</v>
      </c>
      <c r="B1" s="354"/>
      <c r="C1" s="354"/>
      <c r="D1" s="354"/>
      <c r="E1" s="354"/>
      <c r="F1" s="354"/>
      <c r="G1" s="354"/>
    </row>
    <row r="2" spans="1:7" ht="57" customHeight="1">
      <c r="A2" s="355" t="s">
        <v>127</v>
      </c>
      <c r="B2" s="356"/>
      <c r="C2" s="356"/>
      <c r="D2" s="356"/>
      <c r="E2" s="127" t="s">
        <v>128</v>
      </c>
      <c r="F2" s="128" t="s">
        <v>129</v>
      </c>
      <c r="G2" s="357" t="s">
        <v>71</v>
      </c>
    </row>
    <row r="3" spans="1:7" ht="48.75" customHeight="1">
      <c r="A3" s="132" t="s">
        <v>130</v>
      </c>
      <c r="B3" s="131" t="s">
        <v>131</v>
      </c>
      <c r="C3" s="131" t="s">
        <v>132</v>
      </c>
      <c r="D3" s="131" t="s">
        <v>133</v>
      </c>
      <c r="E3" s="131" t="s">
        <v>134</v>
      </c>
      <c r="F3" s="131" t="s">
        <v>135</v>
      </c>
      <c r="G3" s="358"/>
    </row>
    <row r="4" spans="1:7" ht="27.75" customHeight="1">
      <c r="A4" s="350" t="s">
        <v>16</v>
      </c>
      <c r="B4" s="349" t="s">
        <v>136</v>
      </c>
      <c r="C4" s="120" t="s">
        <v>137</v>
      </c>
      <c r="D4" s="120" t="s">
        <v>138</v>
      </c>
      <c r="E4" s="46" t="s">
        <v>104</v>
      </c>
      <c r="F4" s="46">
        <f t="shared" ref="F4:F54" si="0">IF(E4="","",IF(E4="EI",4,IF(E4="EO",5.2,IF(E4="EQ",3.9,IF(E4="ILF",7.5,IF(E4="EIF",5.4))))))</f>
        <v>7.5</v>
      </c>
      <c r="G4" s="130"/>
    </row>
    <row r="5" spans="1:7" ht="27.75" customHeight="1">
      <c r="A5" s="351"/>
      <c r="B5" s="349"/>
      <c r="C5" s="120" t="s">
        <v>139</v>
      </c>
      <c r="D5" s="120" t="s">
        <v>140</v>
      </c>
      <c r="E5" s="46" t="s">
        <v>106</v>
      </c>
      <c r="F5" s="46">
        <f t="shared" si="0"/>
        <v>4</v>
      </c>
      <c r="G5" s="130"/>
    </row>
    <row r="6" spans="1:7" ht="27.75" customHeight="1">
      <c r="A6" s="351"/>
      <c r="B6" s="349"/>
      <c r="C6" s="120" t="s">
        <v>141</v>
      </c>
      <c r="D6" s="120" t="s">
        <v>142</v>
      </c>
      <c r="E6" s="46" t="s">
        <v>106</v>
      </c>
      <c r="F6" s="46">
        <f t="shared" si="0"/>
        <v>4</v>
      </c>
      <c r="G6" s="130"/>
    </row>
    <row r="7" spans="1:7" ht="27.75" customHeight="1">
      <c r="A7" s="351"/>
      <c r="B7" s="349"/>
      <c r="C7" s="120" t="s">
        <v>143</v>
      </c>
      <c r="D7" s="120" t="s">
        <v>144</v>
      </c>
      <c r="E7" s="46" t="s">
        <v>108</v>
      </c>
      <c r="F7" s="46">
        <f t="shared" si="0"/>
        <v>3.9</v>
      </c>
      <c r="G7" s="130"/>
    </row>
    <row r="8" spans="1:7" ht="27.75" customHeight="1">
      <c r="A8" s="351"/>
      <c r="B8" s="349" t="s">
        <v>145</v>
      </c>
      <c r="C8" s="120" t="s">
        <v>146</v>
      </c>
      <c r="D8" s="120" t="s">
        <v>147</v>
      </c>
      <c r="E8" s="46" t="s">
        <v>104</v>
      </c>
      <c r="F8" s="46">
        <f t="shared" si="0"/>
        <v>7.5</v>
      </c>
      <c r="G8" s="130"/>
    </row>
    <row r="9" spans="1:7" ht="27.75" customHeight="1">
      <c r="A9" s="351"/>
      <c r="B9" s="349"/>
      <c r="C9" s="120" t="s">
        <v>148</v>
      </c>
      <c r="D9" s="120" t="s">
        <v>149</v>
      </c>
      <c r="E9" s="46" t="s">
        <v>106</v>
      </c>
      <c r="F9" s="46">
        <f t="shared" si="0"/>
        <v>4</v>
      </c>
      <c r="G9" s="130"/>
    </row>
    <row r="10" spans="1:7" ht="27.75" customHeight="1">
      <c r="A10" s="351"/>
      <c r="B10" s="349"/>
      <c r="C10" s="120" t="s">
        <v>150</v>
      </c>
      <c r="D10" s="120" t="s">
        <v>151</v>
      </c>
      <c r="E10" s="46" t="s">
        <v>106</v>
      </c>
      <c r="F10" s="46">
        <f t="shared" si="0"/>
        <v>4</v>
      </c>
      <c r="G10" s="130"/>
    </row>
    <row r="11" spans="1:7" ht="27.75" customHeight="1">
      <c r="A11" s="351"/>
      <c r="B11" s="349"/>
      <c r="C11" s="120" t="s">
        <v>152</v>
      </c>
      <c r="D11" s="120" t="s">
        <v>153</v>
      </c>
      <c r="E11" s="46" t="s">
        <v>108</v>
      </c>
      <c r="F11" s="46">
        <f t="shared" si="0"/>
        <v>3.9</v>
      </c>
      <c r="G11" s="130"/>
    </row>
    <row r="12" spans="1:7" ht="27.75" customHeight="1">
      <c r="A12" s="351"/>
      <c r="B12" s="353" t="s">
        <v>154</v>
      </c>
      <c r="C12" s="120" t="s">
        <v>155</v>
      </c>
      <c r="D12" s="120" t="s">
        <v>156</v>
      </c>
      <c r="E12" s="46" t="s">
        <v>104</v>
      </c>
      <c r="F12" s="46">
        <f t="shared" si="0"/>
        <v>7.5</v>
      </c>
      <c r="G12" s="130"/>
    </row>
    <row r="13" spans="1:7" ht="27.75" customHeight="1">
      <c r="A13" s="351"/>
      <c r="B13" s="353"/>
      <c r="C13" s="120" t="s">
        <v>157</v>
      </c>
      <c r="D13" s="120" t="s">
        <v>158</v>
      </c>
      <c r="E13" s="46" t="s">
        <v>106</v>
      </c>
      <c r="F13" s="46">
        <f t="shared" si="0"/>
        <v>4</v>
      </c>
      <c r="G13" s="130"/>
    </row>
    <row r="14" spans="1:7" ht="27.75" customHeight="1">
      <c r="A14" s="351"/>
      <c r="B14" s="353"/>
      <c r="C14" s="120" t="s">
        <v>159</v>
      </c>
      <c r="D14" s="120" t="s">
        <v>160</v>
      </c>
      <c r="E14" s="46" t="s">
        <v>106</v>
      </c>
      <c r="F14" s="46">
        <f t="shared" si="0"/>
        <v>4</v>
      </c>
      <c r="G14" s="130"/>
    </row>
    <row r="15" spans="1:7" ht="27.75" customHeight="1">
      <c r="A15" s="351"/>
      <c r="B15" s="353"/>
      <c r="C15" s="120" t="s">
        <v>161</v>
      </c>
      <c r="D15" s="120" t="s">
        <v>162</v>
      </c>
      <c r="E15" s="46" t="s">
        <v>108</v>
      </c>
      <c r="F15" s="46">
        <f t="shared" si="0"/>
        <v>3.9</v>
      </c>
      <c r="G15" s="130"/>
    </row>
    <row r="16" spans="1:7" ht="27.75" customHeight="1">
      <c r="A16" s="351"/>
      <c r="B16" s="349" t="s">
        <v>163</v>
      </c>
      <c r="C16" s="120" t="s">
        <v>164</v>
      </c>
      <c r="D16" s="120" t="s">
        <v>165</v>
      </c>
      <c r="E16" s="46" t="s">
        <v>104</v>
      </c>
      <c r="F16" s="46">
        <f t="shared" si="0"/>
        <v>7.5</v>
      </c>
      <c r="G16" s="130"/>
    </row>
    <row r="17" spans="1:7" ht="27.75" customHeight="1">
      <c r="A17" s="351"/>
      <c r="B17" s="349"/>
      <c r="C17" s="120" t="s">
        <v>166</v>
      </c>
      <c r="D17" s="120" t="s">
        <v>167</v>
      </c>
      <c r="E17" s="46" t="s">
        <v>106</v>
      </c>
      <c r="F17" s="46">
        <f t="shared" si="0"/>
        <v>4</v>
      </c>
      <c r="G17" s="130"/>
    </row>
    <row r="18" spans="1:7" ht="27.75" customHeight="1">
      <c r="A18" s="351"/>
      <c r="B18" s="349"/>
      <c r="C18" s="120" t="s">
        <v>168</v>
      </c>
      <c r="D18" s="120" t="s">
        <v>169</v>
      </c>
      <c r="E18" s="46" t="s">
        <v>105</v>
      </c>
      <c r="F18" s="46">
        <f t="shared" si="0"/>
        <v>5.4</v>
      </c>
      <c r="G18" s="130"/>
    </row>
    <row r="19" spans="1:7" ht="27.75" customHeight="1">
      <c r="A19" s="351"/>
      <c r="B19" s="349"/>
      <c r="C19" s="120" t="s">
        <v>170</v>
      </c>
      <c r="D19" s="120" t="s">
        <v>171</v>
      </c>
      <c r="E19" s="46" t="s">
        <v>108</v>
      </c>
      <c r="F19" s="46">
        <f t="shared" si="0"/>
        <v>3.9</v>
      </c>
      <c r="G19" s="130"/>
    </row>
    <row r="20" spans="1:7" ht="27.75" customHeight="1">
      <c r="A20" s="351"/>
      <c r="B20" s="349" t="s">
        <v>172</v>
      </c>
      <c r="C20" s="120" t="s">
        <v>173</v>
      </c>
      <c r="D20" s="120" t="s">
        <v>174</v>
      </c>
      <c r="E20" s="46" t="s">
        <v>104</v>
      </c>
      <c r="F20" s="46">
        <f t="shared" si="0"/>
        <v>7.5</v>
      </c>
      <c r="G20" s="130"/>
    </row>
    <row r="21" spans="1:7" ht="27.75" customHeight="1">
      <c r="A21" s="351"/>
      <c r="B21" s="349"/>
      <c r="C21" s="120" t="s">
        <v>175</v>
      </c>
      <c r="D21" s="120" t="s">
        <v>176</v>
      </c>
      <c r="E21" s="46" t="s">
        <v>106</v>
      </c>
      <c r="F21" s="46">
        <f t="shared" si="0"/>
        <v>4</v>
      </c>
      <c r="G21" s="130"/>
    </row>
    <row r="22" spans="1:7" ht="27.75" customHeight="1">
      <c r="A22" s="351"/>
      <c r="B22" s="349"/>
      <c r="C22" s="120" t="s">
        <v>177</v>
      </c>
      <c r="D22" s="120" t="s">
        <v>178</v>
      </c>
      <c r="E22" s="46" t="s">
        <v>105</v>
      </c>
      <c r="F22" s="46">
        <f t="shared" si="0"/>
        <v>5.4</v>
      </c>
      <c r="G22" s="130"/>
    </row>
    <row r="23" spans="1:7" ht="27.75" customHeight="1">
      <c r="A23" s="351"/>
      <c r="B23" s="349"/>
      <c r="C23" s="120" t="s">
        <v>170</v>
      </c>
      <c r="D23" s="120" t="s">
        <v>179</v>
      </c>
      <c r="E23" s="46" t="s">
        <v>108</v>
      </c>
      <c r="F23" s="46">
        <f t="shared" si="0"/>
        <v>3.9</v>
      </c>
      <c r="G23" s="130"/>
    </row>
    <row r="24" spans="1:7" ht="27.75" customHeight="1">
      <c r="A24" s="351"/>
      <c r="B24" s="349" t="s">
        <v>180</v>
      </c>
      <c r="C24" s="120" t="s">
        <v>181</v>
      </c>
      <c r="D24" s="120" t="s">
        <v>182</v>
      </c>
      <c r="E24" s="46" t="s">
        <v>105</v>
      </c>
      <c r="F24" s="46">
        <f t="shared" si="0"/>
        <v>5.4</v>
      </c>
      <c r="G24" s="130"/>
    </row>
    <row r="25" spans="1:7" ht="27.75" customHeight="1">
      <c r="A25" s="351"/>
      <c r="B25" s="349"/>
      <c r="C25" s="120" t="s">
        <v>183</v>
      </c>
      <c r="D25" s="120" t="s">
        <v>184</v>
      </c>
      <c r="E25" s="46" t="s">
        <v>105</v>
      </c>
      <c r="F25" s="46">
        <f t="shared" si="0"/>
        <v>5.4</v>
      </c>
      <c r="G25" s="130"/>
    </row>
    <row r="26" spans="1:7" ht="27.75" customHeight="1">
      <c r="A26" s="351"/>
      <c r="B26" s="349"/>
      <c r="C26" s="120" t="s">
        <v>185</v>
      </c>
      <c r="D26" s="120" t="s">
        <v>186</v>
      </c>
      <c r="E26" s="46" t="s">
        <v>105</v>
      </c>
      <c r="F26" s="46">
        <f t="shared" si="0"/>
        <v>5.4</v>
      </c>
      <c r="G26" s="130"/>
    </row>
    <row r="27" spans="1:7" ht="27.75" customHeight="1">
      <c r="A27" s="351"/>
      <c r="B27" s="349"/>
      <c r="C27" s="120" t="s">
        <v>187</v>
      </c>
      <c r="D27" s="120" t="s">
        <v>188</v>
      </c>
      <c r="E27" s="46" t="s">
        <v>105</v>
      </c>
      <c r="F27" s="46">
        <f t="shared" si="0"/>
        <v>5.4</v>
      </c>
      <c r="G27" s="130"/>
    </row>
    <row r="28" spans="1:7" ht="27.75" customHeight="1">
      <c r="A28" s="351"/>
      <c r="B28" s="349"/>
      <c r="C28" s="120" t="s">
        <v>189</v>
      </c>
      <c r="D28" s="120" t="s">
        <v>190</v>
      </c>
      <c r="E28" s="46" t="s">
        <v>105</v>
      </c>
      <c r="F28" s="46">
        <f t="shared" si="0"/>
        <v>5.4</v>
      </c>
      <c r="G28" s="130"/>
    </row>
    <row r="29" spans="1:7" ht="27.75" customHeight="1">
      <c r="A29" s="351"/>
      <c r="B29" s="349"/>
      <c r="C29" s="120" t="s">
        <v>191</v>
      </c>
      <c r="D29" s="120" t="s">
        <v>192</v>
      </c>
      <c r="E29" s="46" t="s">
        <v>108</v>
      </c>
      <c r="F29" s="46">
        <f t="shared" si="0"/>
        <v>3.9</v>
      </c>
      <c r="G29" s="130"/>
    </row>
    <row r="30" spans="1:7" ht="27.75" customHeight="1">
      <c r="A30" s="351"/>
      <c r="B30" s="349"/>
      <c r="C30" s="120" t="s">
        <v>193</v>
      </c>
      <c r="D30" s="120" t="s">
        <v>194</v>
      </c>
      <c r="E30" s="46" t="s">
        <v>108</v>
      </c>
      <c r="F30" s="46">
        <f t="shared" si="0"/>
        <v>3.9</v>
      </c>
      <c r="G30" s="130"/>
    </row>
    <row r="31" spans="1:7" ht="27.75" customHeight="1">
      <c r="A31" s="351"/>
      <c r="B31" s="349" t="s">
        <v>195</v>
      </c>
      <c r="C31" s="120" t="s">
        <v>196</v>
      </c>
      <c r="D31" s="120" t="s">
        <v>197</v>
      </c>
      <c r="E31" s="46" t="s">
        <v>104</v>
      </c>
      <c r="F31" s="46">
        <f t="shared" si="0"/>
        <v>7.5</v>
      </c>
      <c r="G31" s="130"/>
    </row>
    <row r="32" spans="1:7" ht="27.75" customHeight="1">
      <c r="A32" s="351"/>
      <c r="B32" s="349"/>
      <c r="C32" s="120" t="s">
        <v>198</v>
      </c>
      <c r="D32" s="120" t="s">
        <v>199</v>
      </c>
      <c r="E32" s="46" t="s">
        <v>104</v>
      </c>
      <c r="F32" s="46">
        <f t="shared" si="0"/>
        <v>7.5</v>
      </c>
      <c r="G32" s="130"/>
    </row>
    <row r="33" spans="1:7" ht="27.75" customHeight="1">
      <c r="A33" s="351"/>
      <c r="B33" s="349"/>
      <c r="C33" s="120" t="s">
        <v>200</v>
      </c>
      <c r="D33" s="120" t="s">
        <v>201</v>
      </c>
      <c r="E33" s="46" t="s">
        <v>104</v>
      </c>
      <c r="F33" s="46">
        <f t="shared" si="0"/>
        <v>7.5</v>
      </c>
      <c r="G33" s="130"/>
    </row>
    <row r="34" spans="1:7" ht="27.75" customHeight="1">
      <c r="A34" s="351"/>
      <c r="B34" s="349"/>
      <c r="C34" s="120" t="s">
        <v>202</v>
      </c>
      <c r="D34" s="120" t="s">
        <v>203</v>
      </c>
      <c r="E34" s="46" t="s">
        <v>104</v>
      </c>
      <c r="F34" s="46">
        <f t="shared" si="0"/>
        <v>7.5</v>
      </c>
      <c r="G34" s="130"/>
    </row>
    <row r="35" spans="1:7" ht="27.75" customHeight="1">
      <c r="A35" s="351"/>
      <c r="B35" s="349"/>
      <c r="C35" s="120" t="s">
        <v>204</v>
      </c>
      <c r="D35" s="120" t="s">
        <v>205</v>
      </c>
      <c r="E35" s="46" t="s">
        <v>104</v>
      </c>
      <c r="F35" s="46">
        <f t="shared" si="0"/>
        <v>7.5</v>
      </c>
      <c r="G35" s="130"/>
    </row>
    <row r="36" spans="1:7" ht="27.75" customHeight="1">
      <c r="A36" s="351"/>
      <c r="B36" s="349"/>
      <c r="C36" s="120" t="s">
        <v>206</v>
      </c>
      <c r="D36" s="120" t="s">
        <v>207</v>
      </c>
      <c r="E36" s="46" t="s">
        <v>104</v>
      </c>
      <c r="F36" s="46">
        <f t="shared" si="0"/>
        <v>7.5</v>
      </c>
      <c r="G36" s="130"/>
    </row>
    <row r="37" spans="1:7" ht="27.75" customHeight="1">
      <c r="A37" s="351"/>
      <c r="B37" s="349"/>
      <c r="C37" s="120" t="s">
        <v>208</v>
      </c>
      <c r="D37" s="120" t="s">
        <v>209</v>
      </c>
      <c r="E37" s="46" t="s">
        <v>104</v>
      </c>
      <c r="F37" s="46">
        <f t="shared" si="0"/>
        <v>7.5</v>
      </c>
      <c r="G37" s="130"/>
    </row>
    <row r="38" spans="1:7" ht="27.75" customHeight="1">
      <c r="A38" s="351"/>
      <c r="B38" s="349"/>
      <c r="C38" s="120" t="s">
        <v>210</v>
      </c>
      <c r="D38" s="120" t="s">
        <v>211</v>
      </c>
      <c r="E38" s="46" t="s">
        <v>104</v>
      </c>
      <c r="F38" s="46">
        <f t="shared" si="0"/>
        <v>7.5</v>
      </c>
      <c r="G38" s="130"/>
    </row>
    <row r="39" spans="1:7" ht="27.75" customHeight="1">
      <c r="A39" s="351"/>
      <c r="B39" s="349"/>
      <c r="C39" s="120" t="s">
        <v>212</v>
      </c>
      <c r="D39" s="120" t="s">
        <v>213</v>
      </c>
      <c r="E39" s="46" t="s">
        <v>104</v>
      </c>
      <c r="F39" s="46">
        <f t="shared" si="0"/>
        <v>7.5</v>
      </c>
      <c r="G39" s="130"/>
    </row>
    <row r="40" spans="1:7" ht="27.75" customHeight="1">
      <c r="A40" s="351"/>
      <c r="B40" s="349"/>
      <c r="C40" s="120" t="s">
        <v>214</v>
      </c>
      <c r="D40" s="120" t="s">
        <v>215</v>
      </c>
      <c r="E40" s="46" t="s">
        <v>104</v>
      </c>
      <c r="F40" s="46">
        <f t="shared" si="0"/>
        <v>7.5</v>
      </c>
      <c r="G40" s="130"/>
    </row>
    <row r="41" spans="1:7" ht="27.75" customHeight="1">
      <c r="A41" s="351"/>
      <c r="B41" s="349"/>
      <c r="C41" s="120" t="s">
        <v>216</v>
      </c>
      <c r="D41" s="120" t="s">
        <v>217</v>
      </c>
      <c r="E41" s="46" t="s">
        <v>106</v>
      </c>
      <c r="F41" s="46">
        <f t="shared" si="0"/>
        <v>4</v>
      </c>
      <c r="G41" s="130"/>
    </row>
    <row r="42" spans="1:7" ht="27.75" customHeight="1">
      <c r="A42" s="351"/>
      <c r="B42" s="349"/>
      <c r="C42" s="120" t="s">
        <v>218</v>
      </c>
      <c r="D42" s="120" t="s">
        <v>219</v>
      </c>
      <c r="E42" s="46" t="s">
        <v>106</v>
      </c>
      <c r="F42" s="46">
        <f t="shared" si="0"/>
        <v>4</v>
      </c>
      <c r="G42" s="130"/>
    </row>
    <row r="43" spans="1:7" ht="27.75" customHeight="1">
      <c r="A43" s="351"/>
      <c r="B43" s="349"/>
      <c r="C43" s="120" t="s">
        <v>220</v>
      </c>
      <c r="D43" s="120" t="s">
        <v>221</v>
      </c>
      <c r="E43" s="46" t="s">
        <v>107</v>
      </c>
      <c r="F43" s="46">
        <f t="shared" si="0"/>
        <v>5.2</v>
      </c>
      <c r="G43" s="130"/>
    </row>
    <row r="44" spans="1:7" ht="27.75" customHeight="1">
      <c r="A44" s="351"/>
      <c r="B44" s="349"/>
      <c r="C44" s="120" t="s">
        <v>222</v>
      </c>
      <c r="D44" s="120" t="s">
        <v>223</v>
      </c>
      <c r="E44" s="46" t="s">
        <v>107</v>
      </c>
      <c r="F44" s="46">
        <f t="shared" si="0"/>
        <v>5.2</v>
      </c>
      <c r="G44" s="130"/>
    </row>
    <row r="45" spans="1:7" ht="27.75" customHeight="1">
      <c r="A45" s="351"/>
      <c r="B45" s="349"/>
      <c r="C45" s="120" t="s">
        <v>224</v>
      </c>
      <c r="D45" s="120" t="s">
        <v>225</v>
      </c>
      <c r="E45" s="46" t="s">
        <v>107</v>
      </c>
      <c r="F45" s="46">
        <f t="shared" si="0"/>
        <v>5.2</v>
      </c>
      <c r="G45" s="130"/>
    </row>
    <row r="46" spans="1:7" ht="27.75" customHeight="1">
      <c r="A46" s="351"/>
      <c r="B46" s="349"/>
      <c r="C46" s="120" t="s">
        <v>226</v>
      </c>
      <c r="D46" s="120" t="s">
        <v>227</v>
      </c>
      <c r="E46" s="46" t="s">
        <v>107</v>
      </c>
      <c r="F46" s="46">
        <f t="shared" si="0"/>
        <v>5.2</v>
      </c>
      <c r="G46" s="130"/>
    </row>
    <row r="47" spans="1:7" ht="27.75" customHeight="1">
      <c r="A47" s="351"/>
      <c r="B47" s="349"/>
      <c r="C47" s="120" t="s">
        <v>228</v>
      </c>
      <c r="D47" s="120" t="s">
        <v>229</v>
      </c>
      <c r="E47" s="46" t="s">
        <v>107</v>
      </c>
      <c r="F47" s="46">
        <f t="shared" si="0"/>
        <v>5.2</v>
      </c>
      <c r="G47" s="130"/>
    </row>
    <row r="48" spans="1:7" ht="27.75" customHeight="1">
      <c r="A48" s="351"/>
      <c r="B48" s="349"/>
      <c r="C48" s="120" t="s">
        <v>230</v>
      </c>
      <c r="D48" s="120" t="s">
        <v>231</v>
      </c>
      <c r="E48" s="46" t="s">
        <v>107</v>
      </c>
      <c r="F48" s="46">
        <f t="shared" si="0"/>
        <v>5.2</v>
      </c>
      <c r="G48" s="130"/>
    </row>
    <row r="49" spans="1:7" ht="27.75" customHeight="1">
      <c r="A49" s="351"/>
      <c r="B49" s="349"/>
      <c r="C49" s="120" t="s">
        <v>232</v>
      </c>
      <c r="D49" s="120" t="s">
        <v>233</v>
      </c>
      <c r="E49" s="46" t="s">
        <v>108</v>
      </c>
      <c r="F49" s="46">
        <f t="shared" si="0"/>
        <v>3.9</v>
      </c>
      <c r="G49" s="130"/>
    </row>
    <row r="50" spans="1:7" ht="27.75" customHeight="1">
      <c r="A50" s="351"/>
      <c r="B50" s="349"/>
      <c r="C50" s="120" t="s">
        <v>234</v>
      </c>
      <c r="D50" s="120" t="s">
        <v>235</v>
      </c>
      <c r="E50" s="46" t="s">
        <v>108</v>
      </c>
      <c r="F50" s="46">
        <f t="shared" si="0"/>
        <v>3.9</v>
      </c>
      <c r="G50" s="130"/>
    </row>
    <row r="51" spans="1:7" ht="27.75" customHeight="1">
      <c r="A51" s="351"/>
      <c r="B51" s="349"/>
      <c r="C51" s="120" t="s">
        <v>236</v>
      </c>
      <c r="D51" s="120" t="s">
        <v>237</v>
      </c>
      <c r="E51" s="46" t="s">
        <v>108</v>
      </c>
      <c r="F51" s="46">
        <f t="shared" si="0"/>
        <v>3.9</v>
      </c>
      <c r="G51" s="130"/>
    </row>
    <row r="52" spans="1:7" ht="27.75" customHeight="1">
      <c r="A52" s="351"/>
      <c r="B52" s="349"/>
      <c r="C52" s="120" t="s">
        <v>238</v>
      </c>
      <c r="D52" s="120" t="s">
        <v>239</v>
      </c>
      <c r="E52" s="46" t="s">
        <v>108</v>
      </c>
      <c r="F52" s="46">
        <f t="shared" si="0"/>
        <v>3.9</v>
      </c>
      <c r="G52" s="130"/>
    </row>
    <row r="53" spans="1:7" ht="27.75" customHeight="1">
      <c r="A53" s="352"/>
      <c r="B53" s="349"/>
      <c r="C53" s="120" t="s">
        <v>240</v>
      </c>
      <c r="D53" s="120" t="s">
        <v>241</v>
      </c>
      <c r="E53" s="46" t="s">
        <v>108</v>
      </c>
      <c r="F53" s="46">
        <f t="shared" si="0"/>
        <v>3.9</v>
      </c>
      <c r="G53" s="130"/>
    </row>
    <row r="54" spans="1:7">
      <c r="F54" t="str">
        <f t="shared" si="0"/>
        <v/>
      </c>
    </row>
    <row r="55" spans="1:7">
      <c r="A55" t="s">
        <v>242</v>
      </c>
      <c r="F55" s="45">
        <f>SUM(F4:F30)</f>
        <v>134.60000000000005</v>
      </c>
    </row>
    <row r="56" spans="1:7">
      <c r="A56" t="s">
        <v>243</v>
      </c>
    </row>
    <row r="57" spans="1:7">
      <c r="A57" t="s">
        <v>244</v>
      </c>
    </row>
    <row r="59" spans="1:7">
      <c r="A59" t="s">
        <v>245</v>
      </c>
    </row>
    <row r="60" spans="1:7">
      <c r="A60" t="s">
        <v>246</v>
      </c>
    </row>
    <row r="61" spans="1:7">
      <c r="A61" t="s">
        <v>247</v>
      </c>
    </row>
    <row r="62" spans="1:7">
      <c r="A62" t="s">
        <v>248</v>
      </c>
    </row>
    <row r="63" spans="1:7">
      <c r="A63" t="s">
        <v>249</v>
      </c>
    </row>
    <row r="64" spans="1:7">
      <c r="A64" t="s">
        <v>250</v>
      </c>
    </row>
    <row r="65" spans="1:7">
      <c r="A65" t="s">
        <v>251</v>
      </c>
    </row>
    <row r="66" spans="1:7">
      <c r="A66" t="s">
        <v>252</v>
      </c>
    </row>
    <row r="67" spans="1:7">
      <c r="A67" t="s">
        <v>253</v>
      </c>
    </row>
    <row r="68" spans="1:7">
      <c r="A68" t="s">
        <v>254</v>
      </c>
    </row>
    <row r="69" spans="1:7">
      <c r="A69" t="s">
        <v>255</v>
      </c>
    </row>
    <row r="70" spans="1:7">
      <c r="G70" t="str">
        <f>IF(F70="","",IF(F70="EI",4,IF(F70="EO",5.2,IF(F70="EQ",3.9,IF(F70="ILF",7.5,IF(F70="EIF",5.4))))))</f>
        <v/>
      </c>
    </row>
  </sheetData>
  <mergeCells count="11">
    <mergeCell ref="A1:G1"/>
    <mergeCell ref="A2:D2"/>
    <mergeCell ref="G2:G3"/>
    <mergeCell ref="B4:B7"/>
    <mergeCell ref="B24:B30"/>
    <mergeCell ref="B31:B53"/>
    <mergeCell ref="A4:A53"/>
    <mergeCell ref="B8:B11"/>
    <mergeCell ref="B12:B15"/>
    <mergeCell ref="B16:B19"/>
    <mergeCell ref="B20:B23"/>
  </mergeCells>
  <phoneticPr fontId="4" type="noConversion"/>
  <pageMargins left="0.7" right="0.7" top="0.75" bottom="0.75" header="0.3" footer="0.3"/>
  <pageSetup paperSize="9"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5"/>
  <sheetViews>
    <sheetView view="pageBreakPreview" topLeftCell="A27" zoomScaleNormal="85" zoomScaleSheetLayoutView="100" workbookViewId="0">
      <selection activeCell="K10" sqref="K10"/>
    </sheetView>
  </sheetViews>
  <sheetFormatPr defaultRowHeight="16.5"/>
  <cols>
    <col min="10" max="10" width="11.5" bestFit="1" customWidth="1"/>
    <col min="13" max="13" width="127.625" bestFit="1" customWidth="1"/>
  </cols>
  <sheetData>
    <row r="1" spans="1:11" ht="26.25">
      <c r="A1" s="324" t="s">
        <v>256</v>
      </c>
      <c r="B1" s="324"/>
      <c r="C1" s="324"/>
      <c r="D1" s="325"/>
      <c r="E1" s="325"/>
      <c r="F1" s="325"/>
      <c r="G1" s="325"/>
      <c r="H1" s="325"/>
      <c r="I1" s="325"/>
      <c r="J1" s="325"/>
      <c r="K1" s="325"/>
    </row>
    <row r="2" spans="1:11">
      <c r="A2" s="1"/>
      <c r="B2" s="1"/>
      <c r="C2" s="1"/>
      <c r="D2" s="2"/>
      <c r="E2" s="2"/>
      <c r="F2" s="2"/>
      <c r="G2" s="2"/>
      <c r="H2" s="2"/>
      <c r="I2" s="2"/>
      <c r="J2" s="2"/>
      <c r="K2" s="3" t="s">
        <v>64</v>
      </c>
    </row>
    <row r="3" spans="1:11">
      <c r="A3" s="4"/>
      <c r="B3" s="4"/>
      <c r="C3" s="4"/>
      <c r="D3" s="2"/>
      <c r="E3" s="2"/>
      <c r="F3" s="2"/>
      <c r="G3" s="2"/>
      <c r="H3" s="2"/>
      <c r="I3" s="2"/>
      <c r="J3" s="2"/>
      <c r="K3" s="2"/>
    </row>
    <row r="4" spans="1:11">
      <c r="A4" s="5" t="s">
        <v>65</v>
      </c>
      <c r="B4" s="5"/>
      <c r="C4" s="5"/>
      <c r="D4" s="6"/>
      <c r="E4" s="6"/>
      <c r="F4" s="6"/>
      <c r="G4" s="6"/>
      <c r="H4" s="6"/>
      <c r="I4" s="6"/>
      <c r="J4" s="305" t="s">
        <v>66</v>
      </c>
      <c r="K4" s="305"/>
    </row>
    <row r="5" spans="1:11">
      <c r="A5" s="326" t="s">
        <v>67</v>
      </c>
      <c r="B5" s="327"/>
      <c r="C5" s="330" t="s">
        <v>68</v>
      </c>
      <c r="D5" s="331"/>
      <c r="E5" s="334" t="s">
        <v>69</v>
      </c>
      <c r="F5" s="301"/>
      <c r="G5" s="301"/>
      <c r="H5" s="301"/>
      <c r="I5" s="327"/>
      <c r="J5" s="335" t="s">
        <v>70</v>
      </c>
      <c r="K5" s="337" t="s">
        <v>71</v>
      </c>
    </row>
    <row r="6" spans="1:11">
      <c r="A6" s="328"/>
      <c r="B6" s="329"/>
      <c r="C6" s="332"/>
      <c r="D6" s="333"/>
      <c r="E6" s="7" t="s">
        <v>72</v>
      </c>
      <c r="F6" s="8" t="s">
        <v>73</v>
      </c>
      <c r="G6" s="7" t="s">
        <v>74</v>
      </c>
      <c r="H6" s="8" t="s">
        <v>75</v>
      </c>
      <c r="I6" s="7" t="s">
        <v>76</v>
      </c>
      <c r="J6" s="336"/>
      <c r="K6" s="338"/>
    </row>
    <row r="7" spans="1:11">
      <c r="A7" s="339">
        <f>I31</f>
        <v>351</v>
      </c>
      <c r="B7" s="340"/>
      <c r="C7" s="341">
        <v>605784</v>
      </c>
      <c r="D7" s="342"/>
      <c r="E7" s="9">
        <f>J22</f>
        <v>1.28</v>
      </c>
      <c r="F7" s="10">
        <f>J23</f>
        <v>1.06</v>
      </c>
      <c r="G7" s="11">
        <f>J24</f>
        <v>1</v>
      </c>
      <c r="H7" s="12">
        <f>J25</f>
        <v>1</v>
      </c>
      <c r="I7" s="10">
        <f>J26</f>
        <v>1</v>
      </c>
      <c r="J7" s="13">
        <f>PRODUCT(A7:I7)</f>
        <v>288496633.6512</v>
      </c>
      <c r="K7" s="14"/>
    </row>
    <row r="8" spans="1:11">
      <c r="A8" s="343" t="s">
        <v>77</v>
      </c>
      <c r="B8" s="344"/>
      <c r="C8" s="344"/>
      <c r="D8" s="344"/>
      <c r="E8" s="344"/>
      <c r="F8" s="344"/>
      <c r="G8" s="344"/>
      <c r="H8" s="344"/>
      <c r="I8" s="15"/>
      <c r="J8" s="16">
        <f>SUM(J7:K7)</f>
        <v>288496633.6512</v>
      </c>
      <c r="K8" s="17"/>
    </row>
    <row r="9" spans="1:11">
      <c r="A9" s="345" t="s">
        <v>78</v>
      </c>
      <c r="B9" s="346"/>
      <c r="C9" s="346"/>
      <c r="D9" s="346"/>
      <c r="E9" s="346"/>
      <c r="F9" s="346"/>
      <c r="G9" s="346"/>
      <c r="H9" s="346"/>
      <c r="I9" s="18">
        <v>0.19500000000000001</v>
      </c>
      <c r="J9" s="19">
        <f>J8*I9</f>
        <v>56256843.561984003</v>
      </c>
      <c r="K9" s="20"/>
    </row>
    <row r="10" spans="1:11">
      <c r="A10" s="347" t="s">
        <v>79</v>
      </c>
      <c r="B10" s="348"/>
      <c r="C10" s="348"/>
      <c r="D10" s="348"/>
      <c r="E10" s="348"/>
      <c r="F10" s="348"/>
      <c r="G10" s="348"/>
      <c r="H10" s="348"/>
      <c r="I10" s="21"/>
      <c r="J10" s="22">
        <v>-7208000</v>
      </c>
      <c r="K10" s="23"/>
    </row>
    <row r="11" spans="1:11">
      <c r="A11" s="303" t="s">
        <v>80</v>
      </c>
      <c r="B11" s="304"/>
      <c r="C11" s="304"/>
      <c r="D11" s="304"/>
      <c r="E11" s="304"/>
      <c r="F11" s="304"/>
      <c r="G11" s="304"/>
      <c r="H11" s="304"/>
      <c r="I11" s="24"/>
      <c r="J11" s="25">
        <f>J8+J9+J10</f>
        <v>337545477.213184</v>
      </c>
      <c r="K11" s="26"/>
    </row>
    <row r="12" spans="1:11">
      <c r="A12" s="303" t="s">
        <v>81</v>
      </c>
      <c r="B12" s="304"/>
      <c r="C12" s="304"/>
      <c r="D12" s="304"/>
      <c r="E12" s="304"/>
      <c r="F12" s="304"/>
      <c r="G12" s="304"/>
      <c r="H12" s="304"/>
      <c r="I12" s="24"/>
      <c r="J12" s="25">
        <f>ROUNDDOWN(J11*1.1, -5)</f>
        <v>371300000</v>
      </c>
      <c r="K12" s="26"/>
    </row>
    <row r="13" spans="1:11">
      <c r="A13" s="27"/>
      <c r="B13" s="27"/>
      <c r="C13" s="27"/>
      <c r="D13" s="6"/>
      <c r="E13" s="6"/>
      <c r="F13" s="6"/>
      <c r="G13" s="6"/>
      <c r="H13" s="6"/>
      <c r="I13" s="6"/>
      <c r="J13" s="6"/>
      <c r="K13" s="28"/>
    </row>
    <row r="14" spans="1:11">
      <c r="A14" s="29" t="s">
        <v>82</v>
      </c>
      <c r="B14" s="5"/>
      <c r="C14" s="5"/>
      <c r="D14" s="6"/>
      <c r="E14" s="6"/>
      <c r="F14" s="6"/>
      <c r="G14" s="6"/>
      <c r="H14" s="6"/>
      <c r="I14" s="6"/>
      <c r="J14" s="305" t="s">
        <v>66</v>
      </c>
      <c r="K14" s="305"/>
    </row>
    <row r="15" spans="1:11">
      <c r="A15" s="306" t="s">
        <v>83</v>
      </c>
      <c r="B15" s="307"/>
      <c r="C15" s="308" t="s">
        <v>84</v>
      </c>
      <c r="D15" s="308"/>
      <c r="E15" s="308"/>
      <c r="F15" s="308"/>
      <c r="G15" s="308"/>
      <c r="H15" s="308"/>
      <c r="I15" s="308"/>
      <c r="J15" s="309" t="s">
        <v>85</v>
      </c>
      <c r="K15" s="310"/>
    </row>
    <row r="16" spans="1:11" ht="29.45" customHeight="1">
      <c r="A16" s="311"/>
      <c r="B16" s="312"/>
      <c r="C16" s="313"/>
      <c r="D16" s="314"/>
      <c r="E16" s="314"/>
      <c r="F16" s="314"/>
      <c r="G16" s="314"/>
      <c r="H16" s="314"/>
      <c r="I16" s="314"/>
      <c r="J16" s="315"/>
      <c r="K16" s="316"/>
    </row>
    <row r="17" spans="1:14">
      <c r="A17" s="317"/>
      <c r="B17" s="318"/>
      <c r="C17" s="319"/>
      <c r="D17" s="319"/>
      <c r="E17" s="319"/>
      <c r="F17" s="319"/>
      <c r="G17" s="319"/>
      <c r="H17" s="319"/>
      <c r="I17" s="319"/>
      <c r="J17" s="320"/>
      <c r="K17" s="321"/>
    </row>
    <row r="18" spans="1:14">
      <c r="A18" s="303" t="s">
        <v>86</v>
      </c>
      <c r="B18" s="304"/>
      <c r="C18" s="304"/>
      <c r="D18" s="304"/>
      <c r="E18" s="304"/>
      <c r="F18" s="304"/>
      <c r="G18" s="304"/>
      <c r="H18" s="304"/>
      <c r="I18" s="304"/>
      <c r="J18" s="322">
        <f>SUM(J16:K17)</f>
        <v>0</v>
      </c>
      <c r="K18" s="323"/>
    </row>
    <row r="19" spans="1:1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4">
      <c r="A20" s="5" t="s">
        <v>87</v>
      </c>
      <c r="B20" s="5"/>
      <c r="C20" s="5"/>
      <c r="D20" s="27"/>
      <c r="E20" s="27"/>
      <c r="F20" s="27"/>
      <c r="G20" s="27"/>
      <c r="H20" s="27"/>
      <c r="I20" s="27"/>
      <c r="J20" s="6"/>
      <c r="K20" s="6"/>
    </row>
    <row r="21" spans="1:14">
      <c r="A21" s="299" t="s">
        <v>88</v>
      </c>
      <c r="B21" s="300"/>
      <c r="C21" s="300" t="s">
        <v>89</v>
      </c>
      <c r="D21" s="300"/>
      <c r="E21" s="300"/>
      <c r="F21" s="300"/>
      <c r="G21" s="300"/>
      <c r="H21" s="300"/>
      <c r="I21" s="300"/>
      <c r="J21" s="301" t="s">
        <v>69</v>
      </c>
      <c r="K21" s="302"/>
    </row>
    <row r="22" spans="1:14" ht="35.25" customHeight="1">
      <c r="A22" s="288" t="s">
        <v>90</v>
      </c>
      <c r="B22" s="289"/>
      <c r="C22" s="295" t="str">
        <f>"= 0.4057 x (log e("&amp;A7&amp;") - 7.1978)^2 + 0.8878
   (단, 500FP 미만 1.28, 3,000FP 초과 1.153 적용)"</f>
        <v>= 0.4057 x (log e(351) - 7.1978)^2 + 0.8878
   (단, 500FP 미만 1.28, 3,000FP 초과 1.153 적용)</v>
      </c>
      <c r="D22" s="296"/>
      <c r="E22" s="296"/>
      <c r="F22" s="296"/>
      <c r="G22" s="296"/>
      <c r="H22" s="296"/>
      <c r="I22" s="289"/>
      <c r="J22" s="297">
        <f>IF(A7&lt;500,1.28,IF(A7&gt;3000,1.153,0.4057*(LN(A7)-7.1978)^2+0.8878))</f>
        <v>1.28</v>
      </c>
      <c r="K22" s="298"/>
    </row>
    <row r="23" spans="1:14">
      <c r="A23" s="288" t="s">
        <v>73</v>
      </c>
      <c r="B23" s="289"/>
      <c r="C23" s="290" t="s">
        <v>100</v>
      </c>
      <c r="D23" s="291"/>
      <c r="E23" s="291"/>
      <c r="F23" s="291"/>
      <c r="G23" s="291"/>
      <c r="H23" s="291"/>
      <c r="I23" s="292"/>
      <c r="J23" s="293">
        <f>VLOOKUP(C23,M23:N27,2,1)</f>
        <v>1.06</v>
      </c>
      <c r="K23" s="294"/>
      <c r="M23" t="s">
        <v>92</v>
      </c>
      <c r="N23">
        <v>0.88</v>
      </c>
    </row>
    <row r="24" spans="1:14">
      <c r="A24" s="288" t="s">
        <v>93</v>
      </c>
      <c r="B24" s="289"/>
      <c r="C24" s="290" t="s">
        <v>94</v>
      </c>
      <c r="D24" s="291"/>
      <c r="E24" s="291"/>
      <c r="F24" s="291"/>
      <c r="G24" s="291"/>
      <c r="H24" s="291"/>
      <c r="I24" s="292"/>
      <c r="J24" s="293">
        <f>VLOOKUP(C24,M28:N32,2,1)</f>
        <v>1</v>
      </c>
      <c r="K24" s="294"/>
      <c r="M24" t="s">
        <v>91</v>
      </c>
      <c r="N24">
        <v>0.94</v>
      </c>
    </row>
    <row r="25" spans="1:14" ht="31.5" customHeight="1">
      <c r="A25" s="288" t="s">
        <v>95</v>
      </c>
      <c r="B25" s="289"/>
      <c r="C25" s="290" t="s">
        <v>96</v>
      </c>
      <c r="D25" s="291"/>
      <c r="E25" s="291"/>
      <c r="F25" s="291"/>
      <c r="G25" s="291"/>
      <c r="H25" s="291"/>
      <c r="I25" s="292"/>
      <c r="J25" s="293">
        <f>VLOOKUP(C25,M33:N37,2,1)</f>
        <v>1</v>
      </c>
      <c r="K25" s="294"/>
      <c r="M25" t="s">
        <v>97</v>
      </c>
      <c r="N25">
        <v>1</v>
      </c>
    </row>
    <row r="26" spans="1:14">
      <c r="A26" s="272" t="s">
        <v>98</v>
      </c>
      <c r="B26" s="273"/>
      <c r="C26" s="274" t="s">
        <v>99</v>
      </c>
      <c r="D26" s="275"/>
      <c r="E26" s="275"/>
      <c r="F26" s="275"/>
      <c r="G26" s="275"/>
      <c r="H26" s="275"/>
      <c r="I26" s="276"/>
      <c r="J26" s="277">
        <f>VLOOKUP(C26,M38:N42,2,1)</f>
        <v>1</v>
      </c>
      <c r="K26" s="278"/>
      <c r="M26" t="s">
        <v>100</v>
      </c>
      <c r="N26">
        <v>1.06</v>
      </c>
    </row>
    <row r="27" spans="1:14">
      <c r="A27" s="30"/>
      <c r="B27" s="30"/>
      <c r="C27" s="30"/>
      <c r="D27" s="30"/>
      <c r="E27" s="30"/>
      <c r="F27" s="30"/>
      <c r="G27" s="30"/>
      <c r="H27" s="30"/>
      <c r="I27" s="30"/>
      <c r="J27" s="31"/>
      <c r="K27" s="31"/>
      <c r="M27" t="s">
        <v>101</v>
      </c>
      <c r="N27">
        <v>1.1200000000000001</v>
      </c>
    </row>
    <row r="28" spans="1:14">
      <c r="A28" s="32" t="s">
        <v>102</v>
      </c>
      <c r="B28" s="32"/>
      <c r="C28" s="32"/>
      <c r="D28" s="33"/>
      <c r="E28" s="33"/>
      <c r="F28" s="33"/>
      <c r="G28" s="33"/>
      <c r="H28" s="33"/>
      <c r="I28" s="33"/>
      <c r="J28" s="33"/>
      <c r="K28" s="33"/>
      <c r="M28" t="s">
        <v>103</v>
      </c>
      <c r="N28">
        <v>0.91</v>
      </c>
    </row>
    <row r="29" spans="1:14">
      <c r="A29" s="34" t="s">
        <v>83</v>
      </c>
      <c r="B29" s="35"/>
      <c r="C29" s="35"/>
      <c r="D29" s="34" t="s">
        <v>104</v>
      </c>
      <c r="E29" s="34" t="s">
        <v>105</v>
      </c>
      <c r="F29" s="34" t="s">
        <v>106</v>
      </c>
      <c r="G29" s="34" t="s">
        <v>107</v>
      </c>
      <c r="H29" s="34" t="s">
        <v>108</v>
      </c>
      <c r="I29" s="279" t="s">
        <v>109</v>
      </c>
      <c r="J29" s="280"/>
      <c r="K29" s="281"/>
      <c r="M29" t="s">
        <v>110</v>
      </c>
      <c r="N29">
        <v>0.95</v>
      </c>
    </row>
    <row r="30" spans="1:14">
      <c r="A30" s="36" t="s">
        <v>111</v>
      </c>
      <c r="B30" s="37"/>
      <c r="C30" s="37"/>
      <c r="D30" s="38">
        <f>COUNTIF('02.데이터 전처리 FP산정'!E4:E70,"ILF")</f>
        <v>20</v>
      </c>
      <c r="E30" s="38">
        <f>COUNTIF('02.데이터 전처리 FP산정'!E4:E70,"EIF")</f>
        <v>0</v>
      </c>
      <c r="F30" s="38">
        <f>COUNTIF('02.데이터 전처리 FP산정'!E4:E70,"EI")</f>
        <v>8</v>
      </c>
      <c r="G30" s="38">
        <f>COUNTIF('02.데이터 전처리 FP산정'!E4:E70,"EO")</f>
        <v>22</v>
      </c>
      <c r="H30" s="38">
        <f>COUNTIF('02.데이터 전처리 FP산정'!E4:E70,"EQ")</f>
        <v>14</v>
      </c>
      <c r="I30" s="282">
        <f>SUM(D30:H30)</f>
        <v>64</v>
      </c>
      <c r="J30" s="283"/>
      <c r="K30" s="284"/>
      <c r="M30" t="s">
        <v>94</v>
      </c>
      <c r="N30">
        <v>1</v>
      </c>
    </row>
    <row r="31" spans="1:14">
      <c r="A31" s="36" t="s">
        <v>112</v>
      </c>
      <c r="B31" s="37"/>
      <c r="C31" s="37"/>
      <c r="D31" s="38">
        <f>SUMIF('02.데이터 전처리 FP산정'!E4:E70,"ILF",'02.데이터 전처리 FP산정'!$F4:$F70)</f>
        <v>150</v>
      </c>
      <c r="E31" s="38">
        <f>SUMIF('02.데이터 전처리 FP산정'!E4:E70,"EIF",'02.데이터 전처리 FP산정'!$F4:$F70)</f>
        <v>0</v>
      </c>
      <c r="F31" s="38">
        <f>SUMIF('02.데이터 전처리 FP산정'!E4:E70,"EI",'02.데이터 전처리 FP산정'!$F4:$F70)</f>
        <v>32</v>
      </c>
      <c r="G31" s="38">
        <f>SUMIF('02.데이터 전처리 FP산정'!E4:E70,"EO",'02.데이터 전처리 FP산정'!$F4:$F70)</f>
        <v>114.40000000000003</v>
      </c>
      <c r="H31" s="38">
        <f>SUMIF('02.데이터 전처리 FP산정'!E4:E70,"EQ",'02.데이터 전처리 FP산정'!$F4:$F70)</f>
        <v>54.599999999999987</v>
      </c>
      <c r="I31" s="285">
        <f>SUM(D31:H31)</f>
        <v>351</v>
      </c>
      <c r="J31" s="286"/>
      <c r="K31" s="287"/>
      <c r="M31" t="s">
        <v>113</v>
      </c>
      <c r="N31">
        <v>1.05</v>
      </c>
    </row>
    <row r="32" spans="1:14">
      <c r="A32" s="39" t="s">
        <v>114</v>
      </c>
      <c r="B32" s="40"/>
      <c r="C32" s="40"/>
      <c r="D32" s="41">
        <f>IF($I$31&gt;0,D31/$I$31,"-")</f>
        <v>0.42735042735042733</v>
      </c>
      <c r="E32" s="41">
        <f t="shared" ref="E32:H32" si="0">IF($I$31&gt;0,E31/$I$31,"-")</f>
        <v>0</v>
      </c>
      <c r="F32" s="41">
        <f t="shared" si="0"/>
        <v>9.1168091168091173E-2</v>
      </c>
      <c r="G32" s="41">
        <f t="shared" si="0"/>
        <v>0.32592592592592601</v>
      </c>
      <c r="H32" s="41">
        <f t="shared" si="0"/>
        <v>0.15555555555555553</v>
      </c>
      <c r="I32" s="269">
        <f t="shared" ref="I32" si="1">SUM(D32:H32)</f>
        <v>1</v>
      </c>
      <c r="J32" s="270"/>
      <c r="K32" s="271"/>
      <c r="M32" t="s">
        <v>115</v>
      </c>
      <c r="N32">
        <v>1.0900000000000001</v>
      </c>
    </row>
    <row r="33" spans="1:14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M33" t="s">
        <v>116</v>
      </c>
      <c r="N33">
        <v>0.94</v>
      </c>
    </row>
    <row r="34" spans="1:1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M34" t="s">
        <v>96</v>
      </c>
      <c r="N34">
        <v>1</v>
      </c>
    </row>
    <row r="35" spans="1:14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M35" t="s">
        <v>117</v>
      </c>
      <c r="N35">
        <v>1.06</v>
      </c>
    </row>
    <row r="36" spans="1:14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M36" t="s">
        <v>118</v>
      </c>
      <c r="N36">
        <v>1.1299999999999999</v>
      </c>
    </row>
    <row r="37" spans="1:14">
      <c r="M37" t="s">
        <v>119</v>
      </c>
      <c r="N37">
        <v>1.19</v>
      </c>
    </row>
    <row r="38" spans="1:14">
      <c r="M38" t="s">
        <v>120</v>
      </c>
      <c r="N38">
        <v>0.97</v>
      </c>
    </row>
    <row r="39" spans="1:14">
      <c r="M39" t="s">
        <v>99</v>
      </c>
      <c r="N39">
        <v>1</v>
      </c>
    </row>
    <row r="40" spans="1:14">
      <c r="M40" t="s">
        <v>121</v>
      </c>
      <c r="N40">
        <v>1.03</v>
      </c>
    </row>
    <row r="41" spans="1:14">
      <c r="M41" t="s">
        <v>122</v>
      </c>
      <c r="N41">
        <v>1.06</v>
      </c>
    </row>
    <row r="42" spans="1:14">
      <c r="M42" t="s">
        <v>123</v>
      </c>
      <c r="N42">
        <v>1.08</v>
      </c>
    </row>
    <row r="44" spans="1:14">
      <c r="A44" t="s">
        <v>124</v>
      </c>
    </row>
    <row r="45" spans="1:14">
      <c r="A45" s="44" t="s">
        <v>125</v>
      </c>
    </row>
  </sheetData>
  <mergeCells count="48">
    <mergeCell ref="A12:H12"/>
    <mergeCell ref="A11:H11"/>
    <mergeCell ref="A1:K1"/>
    <mergeCell ref="J4:K4"/>
    <mergeCell ref="A5:B6"/>
    <mergeCell ref="C5:D6"/>
    <mergeCell ref="E5:I5"/>
    <mergeCell ref="J5:J6"/>
    <mergeCell ref="K5:K6"/>
    <mergeCell ref="A7:B7"/>
    <mergeCell ref="C7:D7"/>
    <mergeCell ref="A8:H8"/>
    <mergeCell ref="A9:H9"/>
    <mergeCell ref="A10:H10"/>
    <mergeCell ref="A21:B21"/>
    <mergeCell ref="C21:I21"/>
    <mergeCell ref="J21:K21"/>
    <mergeCell ref="J14:K14"/>
    <mergeCell ref="A15:B15"/>
    <mergeCell ref="C15:I15"/>
    <mergeCell ref="J15:K15"/>
    <mergeCell ref="A16:B16"/>
    <mergeCell ref="C16:I16"/>
    <mergeCell ref="J16:K16"/>
    <mergeCell ref="A17:B17"/>
    <mergeCell ref="C17:I17"/>
    <mergeCell ref="J17:K17"/>
    <mergeCell ref="A18:I18"/>
    <mergeCell ref="J18:K18"/>
    <mergeCell ref="A22:B22"/>
    <mergeCell ref="C22:I22"/>
    <mergeCell ref="J22:K22"/>
    <mergeCell ref="A23:B23"/>
    <mergeCell ref="C23:I23"/>
    <mergeCell ref="J23:K23"/>
    <mergeCell ref="A24:B24"/>
    <mergeCell ref="C24:I24"/>
    <mergeCell ref="J24:K24"/>
    <mergeCell ref="A25:B25"/>
    <mergeCell ref="C25:I25"/>
    <mergeCell ref="J25:K25"/>
    <mergeCell ref="I32:K32"/>
    <mergeCell ref="A26:B26"/>
    <mergeCell ref="C26:I26"/>
    <mergeCell ref="J26:K26"/>
    <mergeCell ref="I29:K29"/>
    <mergeCell ref="I30:K30"/>
    <mergeCell ref="I31:K31"/>
  </mergeCells>
  <phoneticPr fontId="4" type="noConversion"/>
  <dataValidations count="4">
    <dataValidation type="list" allowBlank="1" showInputMessage="1" showErrorMessage="1" sqref="C26:I26" xr:uid="{00000000-0002-0000-0400-000000000000}">
      <formula1>$M$38:$M$42</formula1>
    </dataValidation>
    <dataValidation type="list" allowBlank="1" showInputMessage="1" showErrorMessage="1" sqref="C25:I25" xr:uid="{00000000-0002-0000-0400-000001000000}">
      <formula1>$M$33:$M$37</formula1>
    </dataValidation>
    <dataValidation type="list" allowBlank="1" showInputMessage="1" showErrorMessage="1" sqref="C24:I24" xr:uid="{00000000-0002-0000-0400-000002000000}">
      <formula1>$M$28:$M$32</formula1>
    </dataValidation>
    <dataValidation type="list" allowBlank="1" showInputMessage="1" showErrorMessage="1" sqref="C23:I23" xr:uid="{00000000-0002-0000-0400-000003000000}">
      <formula1>$M$23:$M$27</formula1>
    </dataValidation>
  </dataValidations>
  <pageMargins left="0.7" right="0.7" top="0.75" bottom="0.75" header="0.3" footer="0.3"/>
  <pageSetup paperSize="9" scale="79" orientation="portrait" r:id="rId1"/>
  <colBreaks count="1" manualBreakCount="1">
    <brk id="11" max="4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4"/>
  <sheetViews>
    <sheetView view="pageBreakPreview" topLeftCell="A53" zoomScale="70" zoomScaleNormal="55" zoomScaleSheetLayoutView="70" workbookViewId="0">
      <selection activeCell="D7" sqref="D7"/>
    </sheetView>
  </sheetViews>
  <sheetFormatPr defaultRowHeight="16.5"/>
  <cols>
    <col min="1" max="1" width="17.625" customWidth="1"/>
    <col min="2" max="2" width="22.375" customWidth="1"/>
    <col min="3" max="3" width="25.625" customWidth="1"/>
    <col min="4" max="4" width="43.5" bestFit="1" customWidth="1"/>
    <col min="5" max="5" width="13.625" customWidth="1"/>
    <col min="6" max="7" width="11.625" customWidth="1"/>
  </cols>
  <sheetData>
    <row r="1" spans="1:7" ht="45.75" thickBot="1">
      <c r="A1" s="361" t="s">
        <v>257</v>
      </c>
      <c r="B1" s="354"/>
      <c r="C1" s="354"/>
      <c r="D1" s="354"/>
      <c r="E1" s="354"/>
      <c r="F1" s="354"/>
      <c r="G1" s="354"/>
    </row>
    <row r="2" spans="1:7" ht="57" customHeight="1">
      <c r="A2" s="355" t="s">
        <v>127</v>
      </c>
      <c r="B2" s="356"/>
      <c r="C2" s="356"/>
      <c r="D2" s="356"/>
      <c r="E2" s="127" t="s">
        <v>128</v>
      </c>
      <c r="F2" s="128" t="s">
        <v>129</v>
      </c>
      <c r="G2" s="357" t="s">
        <v>71</v>
      </c>
    </row>
    <row r="3" spans="1:7" ht="48.75" customHeight="1">
      <c r="A3" s="132" t="s">
        <v>130</v>
      </c>
      <c r="B3" s="131" t="s">
        <v>131</v>
      </c>
      <c r="C3" s="131" t="s">
        <v>132</v>
      </c>
      <c r="D3" s="131" t="s">
        <v>133</v>
      </c>
      <c r="E3" s="131" t="s">
        <v>134</v>
      </c>
      <c r="F3" s="131" t="s">
        <v>135</v>
      </c>
      <c r="G3" s="358"/>
    </row>
    <row r="4" spans="1:7" ht="27.75" customHeight="1">
      <c r="A4" s="360" t="s">
        <v>16</v>
      </c>
      <c r="B4" s="359" t="s">
        <v>258</v>
      </c>
      <c r="C4" s="120" t="s">
        <v>259</v>
      </c>
      <c r="D4" s="120" t="s">
        <v>260</v>
      </c>
      <c r="E4" s="46" t="s">
        <v>104</v>
      </c>
      <c r="F4" s="46">
        <f t="shared" ref="F4:F68" si="0">IF(E4="","",IF(E4="EI",4,IF(E4="EO",5.2,IF(E4="EQ",3.9,IF(E4="ILF",7.5,IF(E4="EIF",5.4))))))</f>
        <v>7.5</v>
      </c>
      <c r="G4" s="130"/>
    </row>
    <row r="5" spans="1:7" ht="27.75" customHeight="1">
      <c r="A5" s="360"/>
      <c r="B5" s="359"/>
      <c r="C5" s="120" t="s">
        <v>261</v>
      </c>
      <c r="D5" s="120" t="s">
        <v>262</v>
      </c>
      <c r="E5" s="46" t="s">
        <v>104</v>
      </c>
      <c r="F5" s="46">
        <f t="shared" si="0"/>
        <v>7.5</v>
      </c>
      <c r="G5" s="130"/>
    </row>
    <row r="6" spans="1:7" ht="27.75" customHeight="1">
      <c r="A6" s="360"/>
      <c r="B6" s="359"/>
      <c r="C6" s="120" t="s">
        <v>263</v>
      </c>
      <c r="D6" s="120" t="s">
        <v>264</v>
      </c>
      <c r="E6" s="46" t="s">
        <v>107</v>
      </c>
      <c r="F6" s="46">
        <f t="shared" si="0"/>
        <v>5.2</v>
      </c>
      <c r="G6" s="130"/>
    </row>
    <row r="7" spans="1:7" ht="27.75" customHeight="1">
      <c r="A7" s="360"/>
      <c r="B7" s="359"/>
      <c r="C7" s="120" t="s">
        <v>265</v>
      </c>
      <c r="D7" s="120" t="s">
        <v>266</v>
      </c>
      <c r="E7" s="46" t="s">
        <v>107</v>
      </c>
      <c r="F7" s="46">
        <f t="shared" si="0"/>
        <v>5.2</v>
      </c>
      <c r="G7" s="130"/>
    </row>
    <row r="8" spans="1:7" ht="27.75" customHeight="1">
      <c r="A8" s="360"/>
      <c r="B8" s="359"/>
      <c r="C8" s="120" t="s">
        <v>267</v>
      </c>
      <c r="D8" s="120" t="s">
        <v>268</v>
      </c>
      <c r="E8" s="46" t="s">
        <v>107</v>
      </c>
      <c r="F8" s="46">
        <f t="shared" si="0"/>
        <v>5.2</v>
      </c>
      <c r="G8" s="130"/>
    </row>
    <row r="9" spans="1:7" ht="27.75" customHeight="1">
      <c r="A9" s="360"/>
      <c r="B9" s="359"/>
      <c r="C9" s="120" t="s">
        <v>269</v>
      </c>
      <c r="D9" s="120" t="s">
        <v>270</v>
      </c>
      <c r="E9" s="46" t="s">
        <v>108</v>
      </c>
      <c r="F9" s="46">
        <f t="shared" si="0"/>
        <v>3.9</v>
      </c>
      <c r="G9" s="130"/>
    </row>
    <row r="10" spans="1:7" ht="27.75" customHeight="1">
      <c r="A10" s="360"/>
      <c r="B10" s="359"/>
      <c r="C10" s="120" t="s">
        <v>271</v>
      </c>
      <c r="D10" s="120" t="s">
        <v>272</v>
      </c>
      <c r="E10" s="46" t="s">
        <v>108</v>
      </c>
      <c r="F10" s="46">
        <f t="shared" si="0"/>
        <v>3.9</v>
      </c>
      <c r="G10" s="130"/>
    </row>
    <row r="11" spans="1:7" ht="27.75" customHeight="1">
      <c r="A11" s="360"/>
      <c r="B11" s="359"/>
      <c r="C11" s="120" t="s">
        <v>273</v>
      </c>
      <c r="D11" s="120" t="s">
        <v>274</v>
      </c>
      <c r="E11" s="46" t="s">
        <v>104</v>
      </c>
      <c r="F11" s="46">
        <f t="shared" si="0"/>
        <v>7.5</v>
      </c>
      <c r="G11" s="130"/>
    </row>
    <row r="12" spans="1:7" ht="27.75" customHeight="1">
      <c r="A12" s="360"/>
      <c r="B12" s="359"/>
      <c r="C12" s="120" t="s">
        <v>275</v>
      </c>
      <c r="D12" s="120" t="s">
        <v>276</v>
      </c>
      <c r="E12" s="46" t="s">
        <v>104</v>
      </c>
      <c r="F12" s="46">
        <f t="shared" si="0"/>
        <v>7.5</v>
      </c>
      <c r="G12" s="130"/>
    </row>
    <row r="13" spans="1:7" ht="27.75" customHeight="1">
      <c r="A13" s="360"/>
      <c r="B13" s="359"/>
      <c r="C13" s="120" t="s">
        <v>277</v>
      </c>
      <c r="D13" s="120" t="s">
        <v>278</v>
      </c>
      <c r="E13" s="46" t="s">
        <v>107</v>
      </c>
      <c r="F13" s="46">
        <f t="shared" si="0"/>
        <v>5.2</v>
      </c>
      <c r="G13" s="130"/>
    </row>
    <row r="14" spans="1:7" ht="27.75" customHeight="1">
      <c r="A14" s="360"/>
      <c r="B14" s="359"/>
      <c r="C14" s="120" t="s">
        <v>279</v>
      </c>
      <c r="D14" s="120" t="s">
        <v>280</v>
      </c>
      <c r="E14" s="46" t="s">
        <v>107</v>
      </c>
      <c r="F14" s="46">
        <f t="shared" si="0"/>
        <v>5.2</v>
      </c>
      <c r="G14" s="130"/>
    </row>
    <row r="15" spans="1:7" ht="27.75" customHeight="1">
      <c r="A15" s="360"/>
      <c r="B15" s="359"/>
      <c r="C15" s="120" t="s">
        <v>281</v>
      </c>
      <c r="D15" s="120" t="s">
        <v>282</v>
      </c>
      <c r="E15" s="46" t="s">
        <v>107</v>
      </c>
      <c r="F15" s="46">
        <f t="shared" si="0"/>
        <v>5.2</v>
      </c>
      <c r="G15" s="130"/>
    </row>
    <row r="16" spans="1:7" ht="27.75" customHeight="1">
      <c r="A16" s="360"/>
      <c r="B16" s="359"/>
      <c r="C16" s="120" t="s">
        <v>283</v>
      </c>
      <c r="D16" s="120" t="s">
        <v>284</v>
      </c>
      <c r="E16" s="46" t="s">
        <v>107</v>
      </c>
      <c r="F16" s="46">
        <f t="shared" si="0"/>
        <v>5.2</v>
      </c>
      <c r="G16" s="130"/>
    </row>
    <row r="17" spans="1:7" ht="27.75" customHeight="1">
      <c r="A17" s="360"/>
      <c r="B17" s="359"/>
      <c r="C17" s="120" t="s">
        <v>285</v>
      </c>
      <c r="D17" s="120" t="s">
        <v>286</v>
      </c>
      <c r="E17" s="46" t="s">
        <v>107</v>
      </c>
      <c r="F17" s="46">
        <f t="shared" si="0"/>
        <v>5.2</v>
      </c>
      <c r="G17" s="130"/>
    </row>
    <row r="18" spans="1:7" ht="27.75" customHeight="1">
      <c r="A18" s="360"/>
      <c r="B18" s="359"/>
      <c r="C18" s="120" t="s">
        <v>287</v>
      </c>
      <c r="D18" s="120" t="s">
        <v>288</v>
      </c>
      <c r="E18" s="46" t="s">
        <v>108</v>
      </c>
      <c r="F18" s="46">
        <f t="shared" si="0"/>
        <v>3.9</v>
      </c>
      <c r="G18" s="130"/>
    </row>
    <row r="19" spans="1:7" ht="27.75" customHeight="1">
      <c r="A19" s="360"/>
      <c r="B19" s="359"/>
      <c r="C19" s="120" t="s">
        <v>289</v>
      </c>
      <c r="D19" s="120" t="s">
        <v>290</v>
      </c>
      <c r="E19" s="46" t="s">
        <v>108</v>
      </c>
      <c r="F19" s="46">
        <f t="shared" si="0"/>
        <v>3.9</v>
      </c>
      <c r="G19" s="130"/>
    </row>
    <row r="20" spans="1:7" ht="27.75" customHeight="1">
      <c r="A20" s="360"/>
      <c r="B20" s="359"/>
      <c r="C20" s="120" t="s">
        <v>291</v>
      </c>
      <c r="D20" s="120" t="s">
        <v>292</v>
      </c>
      <c r="E20" s="46" t="s">
        <v>107</v>
      </c>
      <c r="F20" s="46">
        <f t="shared" si="0"/>
        <v>5.2</v>
      </c>
      <c r="G20" s="130"/>
    </row>
    <row r="21" spans="1:7" ht="27.75" customHeight="1">
      <c r="A21" s="360"/>
      <c r="B21" s="359"/>
      <c r="C21" s="120" t="s">
        <v>293</v>
      </c>
      <c r="D21" s="120" t="s">
        <v>294</v>
      </c>
      <c r="E21" s="46" t="s">
        <v>104</v>
      </c>
      <c r="F21" s="46">
        <f t="shared" si="0"/>
        <v>7.5</v>
      </c>
      <c r="G21" s="130"/>
    </row>
    <row r="22" spans="1:7" ht="27.75" customHeight="1">
      <c r="A22" s="360"/>
      <c r="B22" s="359"/>
      <c r="C22" s="120" t="s">
        <v>295</v>
      </c>
      <c r="D22" s="120" t="s">
        <v>296</v>
      </c>
      <c r="E22" s="46" t="s">
        <v>107</v>
      </c>
      <c r="F22" s="46">
        <f t="shared" si="0"/>
        <v>5.2</v>
      </c>
      <c r="G22" s="130"/>
    </row>
    <row r="23" spans="1:7" ht="27.75" customHeight="1">
      <c r="A23" s="360"/>
      <c r="B23" s="359"/>
      <c r="C23" s="120" t="s">
        <v>297</v>
      </c>
      <c r="D23" s="120" t="s">
        <v>298</v>
      </c>
      <c r="E23" s="46" t="s">
        <v>104</v>
      </c>
      <c r="F23" s="46">
        <f t="shared" si="0"/>
        <v>7.5</v>
      </c>
      <c r="G23" s="130"/>
    </row>
    <row r="24" spans="1:7" ht="27.75" customHeight="1">
      <c r="A24" s="360"/>
      <c r="B24" s="359" t="s">
        <v>299</v>
      </c>
      <c r="C24" s="120" t="s">
        <v>300</v>
      </c>
      <c r="D24" s="120" t="s">
        <v>301</v>
      </c>
      <c r="E24" s="46" t="s">
        <v>104</v>
      </c>
      <c r="F24" s="46">
        <f t="shared" si="0"/>
        <v>7.5</v>
      </c>
      <c r="G24" s="130"/>
    </row>
    <row r="25" spans="1:7" ht="27.75" customHeight="1">
      <c r="A25" s="360"/>
      <c r="B25" s="359"/>
      <c r="C25" s="120" t="s">
        <v>302</v>
      </c>
      <c r="D25" s="120" t="s">
        <v>303</v>
      </c>
      <c r="E25" s="46" t="s">
        <v>104</v>
      </c>
      <c r="F25" s="46">
        <f t="shared" si="0"/>
        <v>7.5</v>
      </c>
      <c r="G25" s="130"/>
    </row>
    <row r="26" spans="1:7" ht="27.75" customHeight="1">
      <c r="A26" s="360"/>
      <c r="B26" s="359"/>
      <c r="C26" s="120" t="s">
        <v>304</v>
      </c>
      <c r="D26" s="120" t="s">
        <v>305</v>
      </c>
      <c r="E26" s="46" t="s">
        <v>106</v>
      </c>
      <c r="F26" s="46">
        <f t="shared" si="0"/>
        <v>4</v>
      </c>
      <c r="G26" s="130"/>
    </row>
    <row r="27" spans="1:7" ht="27.75" customHeight="1">
      <c r="A27" s="360"/>
      <c r="B27" s="359"/>
      <c r="C27" s="120" t="s">
        <v>306</v>
      </c>
      <c r="D27" s="120" t="s">
        <v>307</v>
      </c>
      <c r="E27" s="46" t="s">
        <v>106</v>
      </c>
      <c r="F27" s="46">
        <f t="shared" si="0"/>
        <v>4</v>
      </c>
      <c r="G27" s="130"/>
    </row>
    <row r="28" spans="1:7" ht="27.75" customHeight="1">
      <c r="A28" s="360"/>
      <c r="B28" s="359"/>
      <c r="C28" s="120" t="s">
        <v>308</v>
      </c>
      <c r="D28" s="120" t="s">
        <v>309</v>
      </c>
      <c r="E28" s="46" t="s">
        <v>106</v>
      </c>
      <c r="F28" s="46">
        <f t="shared" si="0"/>
        <v>4</v>
      </c>
      <c r="G28" s="130"/>
    </row>
    <row r="29" spans="1:7" ht="27.75" customHeight="1">
      <c r="A29" s="360"/>
      <c r="B29" s="359"/>
      <c r="C29" s="120" t="s">
        <v>310</v>
      </c>
      <c r="D29" s="120" t="s">
        <v>311</v>
      </c>
      <c r="E29" s="46" t="s">
        <v>108</v>
      </c>
      <c r="F29" s="46">
        <f t="shared" si="0"/>
        <v>3.9</v>
      </c>
      <c r="G29" s="130"/>
    </row>
    <row r="30" spans="1:7" ht="27.75" customHeight="1">
      <c r="A30" s="360"/>
      <c r="B30" s="359"/>
      <c r="C30" s="120" t="s">
        <v>312</v>
      </c>
      <c r="D30" s="120" t="s">
        <v>313</v>
      </c>
      <c r="E30" s="46" t="s">
        <v>108</v>
      </c>
      <c r="F30" s="46">
        <f t="shared" si="0"/>
        <v>3.9</v>
      </c>
      <c r="G30" s="130"/>
    </row>
    <row r="31" spans="1:7" ht="27.75" customHeight="1">
      <c r="A31" s="360"/>
      <c r="B31" s="359"/>
      <c r="C31" s="120" t="s">
        <v>314</v>
      </c>
      <c r="D31" s="120" t="s">
        <v>315</v>
      </c>
      <c r="E31" s="46" t="s">
        <v>104</v>
      </c>
      <c r="F31" s="46">
        <f t="shared" si="0"/>
        <v>7.5</v>
      </c>
      <c r="G31" s="130"/>
    </row>
    <row r="32" spans="1:7" ht="27.75" customHeight="1">
      <c r="A32" s="360"/>
      <c r="B32" s="359"/>
      <c r="C32" s="120" t="s">
        <v>316</v>
      </c>
      <c r="D32" s="120" t="s">
        <v>317</v>
      </c>
      <c r="E32" s="46" t="s">
        <v>104</v>
      </c>
      <c r="F32" s="46">
        <f t="shared" si="0"/>
        <v>7.5</v>
      </c>
      <c r="G32" s="130"/>
    </row>
    <row r="33" spans="1:7" ht="27.75" customHeight="1">
      <c r="A33" s="360"/>
      <c r="B33" s="359"/>
      <c r="C33" s="120" t="s">
        <v>318</v>
      </c>
      <c r="D33" s="120" t="s">
        <v>319</v>
      </c>
      <c r="E33" s="46" t="s">
        <v>104</v>
      </c>
      <c r="F33" s="46">
        <f t="shared" si="0"/>
        <v>7.5</v>
      </c>
      <c r="G33" s="130"/>
    </row>
    <row r="34" spans="1:7" ht="27.75" customHeight="1">
      <c r="A34" s="360"/>
      <c r="B34" s="359"/>
      <c r="C34" s="120" t="s">
        <v>320</v>
      </c>
      <c r="D34" s="120" t="s">
        <v>321</v>
      </c>
      <c r="E34" s="46" t="s">
        <v>106</v>
      </c>
      <c r="F34" s="46">
        <f t="shared" si="0"/>
        <v>4</v>
      </c>
      <c r="G34" s="130"/>
    </row>
    <row r="35" spans="1:7" ht="27.75" customHeight="1">
      <c r="A35" s="360"/>
      <c r="B35" s="359"/>
      <c r="C35" s="120" t="s">
        <v>322</v>
      </c>
      <c r="D35" s="120" t="s">
        <v>323</v>
      </c>
      <c r="E35" s="46" t="s">
        <v>106</v>
      </c>
      <c r="F35" s="46">
        <f t="shared" si="0"/>
        <v>4</v>
      </c>
      <c r="G35" s="130"/>
    </row>
    <row r="36" spans="1:7" ht="27.75" customHeight="1">
      <c r="A36" s="360"/>
      <c r="B36" s="359"/>
      <c r="C36" s="120" t="s">
        <v>324</v>
      </c>
      <c r="D36" s="120" t="s">
        <v>325</v>
      </c>
      <c r="E36" s="46" t="s">
        <v>106</v>
      </c>
      <c r="F36" s="46">
        <f t="shared" si="0"/>
        <v>4</v>
      </c>
      <c r="G36" s="130"/>
    </row>
    <row r="37" spans="1:7" ht="27.75" customHeight="1">
      <c r="A37" s="360"/>
      <c r="B37" s="359"/>
      <c r="C37" s="120" t="s">
        <v>326</v>
      </c>
      <c r="D37" s="120" t="s">
        <v>327</v>
      </c>
      <c r="E37" s="46" t="s">
        <v>108</v>
      </c>
      <c r="F37" s="46">
        <f t="shared" si="0"/>
        <v>3.9</v>
      </c>
      <c r="G37" s="130"/>
    </row>
    <row r="38" spans="1:7" ht="27.75" customHeight="1">
      <c r="A38" s="360"/>
      <c r="B38" s="359"/>
      <c r="C38" s="120" t="s">
        <v>328</v>
      </c>
      <c r="D38" s="120" t="s">
        <v>329</v>
      </c>
      <c r="E38" s="46" t="s">
        <v>108</v>
      </c>
      <c r="F38" s="46">
        <f t="shared" si="0"/>
        <v>3.9</v>
      </c>
      <c r="G38" s="130"/>
    </row>
    <row r="39" spans="1:7" ht="27.75" customHeight="1">
      <c r="A39" s="360"/>
      <c r="B39" s="359"/>
      <c r="C39" s="120" t="s">
        <v>330</v>
      </c>
      <c r="D39" s="120" t="s">
        <v>331</v>
      </c>
      <c r="E39" s="46" t="s">
        <v>108</v>
      </c>
      <c r="F39" s="46">
        <f t="shared" si="0"/>
        <v>3.9</v>
      </c>
      <c r="G39" s="130"/>
    </row>
    <row r="40" spans="1:7" ht="27.75" customHeight="1">
      <c r="A40" s="360"/>
      <c r="B40" s="359"/>
      <c r="C40" s="120" t="s">
        <v>332</v>
      </c>
      <c r="D40" s="120" t="s">
        <v>333</v>
      </c>
      <c r="E40" s="46" t="s">
        <v>104</v>
      </c>
      <c r="F40" s="46">
        <f t="shared" si="0"/>
        <v>7.5</v>
      </c>
      <c r="G40" s="130"/>
    </row>
    <row r="41" spans="1:7" ht="27.75" customHeight="1">
      <c r="A41" s="360"/>
      <c r="B41" s="359"/>
      <c r="C41" s="120" t="s">
        <v>334</v>
      </c>
      <c r="D41" s="120" t="s">
        <v>335</v>
      </c>
      <c r="E41" s="46" t="s">
        <v>104</v>
      </c>
      <c r="F41" s="46">
        <f t="shared" si="0"/>
        <v>7.5</v>
      </c>
      <c r="G41" s="130"/>
    </row>
    <row r="42" spans="1:7" ht="27.75" customHeight="1">
      <c r="A42" s="360"/>
      <c r="B42" s="359"/>
      <c r="C42" s="120" t="s">
        <v>336</v>
      </c>
      <c r="D42" s="120" t="s">
        <v>337</v>
      </c>
      <c r="E42" s="46" t="s">
        <v>106</v>
      </c>
      <c r="F42" s="46">
        <f t="shared" si="0"/>
        <v>4</v>
      </c>
      <c r="G42" s="130"/>
    </row>
    <row r="43" spans="1:7" ht="27.75" customHeight="1">
      <c r="A43" s="360"/>
      <c r="B43" s="359"/>
      <c r="C43" s="120" t="s">
        <v>338</v>
      </c>
      <c r="D43" s="120" t="s">
        <v>339</v>
      </c>
      <c r="E43" s="46" t="s">
        <v>106</v>
      </c>
      <c r="F43" s="46">
        <f t="shared" si="0"/>
        <v>4</v>
      </c>
      <c r="G43" s="130"/>
    </row>
    <row r="44" spans="1:7" ht="27.75" customHeight="1">
      <c r="A44" s="360"/>
      <c r="B44" s="359" t="s">
        <v>340</v>
      </c>
      <c r="C44" s="120" t="s">
        <v>341</v>
      </c>
      <c r="D44" s="120" t="s">
        <v>342</v>
      </c>
      <c r="E44" s="46" t="s">
        <v>104</v>
      </c>
      <c r="F44" s="46">
        <f t="shared" si="0"/>
        <v>7.5</v>
      </c>
      <c r="G44" s="130"/>
    </row>
    <row r="45" spans="1:7" ht="27.75" customHeight="1">
      <c r="A45" s="360"/>
      <c r="B45" s="359"/>
      <c r="C45" s="120" t="s">
        <v>343</v>
      </c>
      <c r="D45" s="120" t="s">
        <v>344</v>
      </c>
      <c r="E45" s="46" t="s">
        <v>104</v>
      </c>
      <c r="F45" s="46">
        <f t="shared" si="0"/>
        <v>7.5</v>
      </c>
      <c r="G45" s="130"/>
    </row>
    <row r="46" spans="1:7" ht="27.75" customHeight="1">
      <c r="A46" s="360"/>
      <c r="B46" s="359"/>
      <c r="C46" s="120" t="s">
        <v>345</v>
      </c>
      <c r="D46" s="120" t="s">
        <v>346</v>
      </c>
      <c r="E46" s="46" t="s">
        <v>107</v>
      </c>
      <c r="F46" s="46">
        <f t="shared" si="0"/>
        <v>5.2</v>
      </c>
      <c r="G46" s="130"/>
    </row>
    <row r="47" spans="1:7" ht="27.75" customHeight="1">
      <c r="A47" s="360"/>
      <c r="B47" s="359"/>
      <c r="C47" s="120" t="s">
        <v>347</v>
      </c>
      <c r="D47" s="120" t="s">
        <v>348</v>
      </c>
      <c r="E47" s="46" t="s">
        <v>107</v>
      </c>
      <c r="F47" s="46">
        <f t="shared" si="0"/>
        <v>5.2</v>
      </c>
      <c r="G47" s="130"/>
    </row>
    <row r="48" spans="1:7" ht="27.75" customHeight="1">
      <c r="A48" s="360"/>
      <c r="B48" s="359"/>
      <c r="C48" s="120" t="s">
        <v>349</v>
      </c>
      <c r="D48" s="120" t="s">
        <v>350</v>
      </c>
      <c r="E48" s="46" t="s">
        <v>107</v>
      </c>
      <c r="F48" s="46">
        <f t="shared" si="0"/>
        <v>5.2</v>
      </c>
      <c r="G48" s="130"/>
    </row>
    <row r="49" spans="1:7" ht="27.75" customHeight="1">
      <c r="A49" s="360"/>
      <c r="B49" s="359"/>
      <c r="C49" s="120" t="s">
        <v>351</v>
      </c>
      <c r="D49" s="120" t="s">
        <v>352</v>
      </c>
      <c r="E49" s="46" t="s">
        <v>108</v>
      </c>
      <c r="F49" s="46">
        <f t="shared" si="0"/>
        <v>3.9</v>
      </c>
      <c r="G49" s="130"/>
    </row>
    <row r="50" spans="1:7" ht="27.75" customHeight="1">
      <c r="A50" s="360"/>
      <c r="B50" s="359"/>
      <c r="C50" s="120" t="s">
        <v>353</v>
      </c>
      <c r="D50" s="120" t="s">
        <v>354</v>
      </c>
      <c r="E50" s="46" t="s">
        <v>108</v>
      </c>
      <c r="F50" s="46">
        <f t="shared" si="0"/>
        <v>3.9</v>
      </c>
      <c r="G50" s="130"/>
    </row>
    <row r="51" spans="1:7" ht="27.75" customHeight="1">
      <c r="A51" s="360"/>
      <c r="B51" s="359"/>
      <c r="C51" s="120" t="s">
        <v>355</v>
      </c>
      <c r="D51" s="120" t="s">
        <v>356</v>
      </c>
      <c r="E51" s="46" t="s">
        <v>104</v>
      </c>
      <c r="F51" s="46">
        <f t="shared" si="0"/>
        <v>7.5</v>
      </c>
      <c r="G51" s="130"/>
    </row>
    <row r="52" spans="1:7" ht="27.75" customHeight="1">
      <c r="A52" s="360"/>
      <c r="B52" s="359"/>
      <c r="C52" s="120" t="s">
        <v>357</v>
      </c>
      <c r="D52" s="120" t="s">
        <v>358</v>
      </c>
      <c r="E52" s="46" t="s">
        <v>104</v>
      </c>
      <c r="F52" s="46">
        <f t="shared" si="0"/>
        <v>7.5</v>
      </c>
      <c r="G52" s="130"/>
    </row>
    <row r="53" spans="1:7" ht="27.75" customHeight="1">
      <c r="A53" s="360"/>
      <c r="B53" s="359"/>
      <c r="C53" s="120" t="s">
        <v>359</v>
      </c>
      <c r="D53" s="120" t="s">
        <v>360</v>
      </c>
      <c r="E53" s="46" t="s">
        <v>107</v>
      </c>
      <c r="F53" s="46">
        <f t="shared" si="0"/>
        <v>5.2</v>
      </c>
      <c r="G53" s="130"/>
    </row>
    <row r="54" spans="1:7" ht="27.75" customHeight="1">
      <c r="A54" s="360"/>
      <c r="B54" s="359"/>
      <c r="C54" s="120" t="s">
        <v>361</v>
      </c>
      <c r="D54" s="120" t="s">
        <v>362</v>
      </c>
      <c r="E54" s="46" t="s">
        <v>107</v>
      </c>
      <c r="F54" s="46">
        <f t="shared" si="0"/>
        <v>5.2</v>
      </c>
      <c r="G54" s="130"/>
    </row>
    <row r="55" spans="1:7" ht="27.75" customHeight="1">
      <c r="A55" s="360"/>
      <c r="B55" s="359"/>
      <c r="C55" s="120" t="s">
        <v>363</v>
      </c>
      <c r="D55" s="120" t="s">
        <v>364</v>
      </c>
      <c r="E55" s="46" t="s">
        <v>107</v>
      </c>
      <c r="F55" s="46">
        <f t="shared" si="0"/>
        <v>5.2</v>
      </c>
      <c r="G55" s="130"/>
    </row>
    <row r="56" spans="1:7" ht="27.75" customHeight="1">
      <c r="A56" s="360"/>
      <c r="B56" s="359"/>
      <c r="C56" s="120" t="s">
        <v>365</v>
      </c>
      <c r="D56" s="120" t="s">
        <v>366</v>
      </c>
      <c r="E56" s="46" t="s">
        <v>107</v>
      </c>
      <c r="F56" s="46">
        <f t="shared" si="0"/>
        <v>5.2</v>
      </c>
      <c r="G56" s="130"/>
    </row>
    <row r="57" spans="1:7" ht="27.75" customHeight="1">
      <c r="A57" s="360"/>
      <c r="B57" s="359"/>
      <c r="C57" s="120" t="s">
        <v>367</v>
      </c>
      <c r="D57" s="120" t="s">
        <v>368</v>
      </c>
      <c r="E57" s="46" t="s">
        <v>107</v>
      </c>
      <c r="F57" s="46">
        <f t="shared" si="0"/>
        <v>5.2</v>
      </c>
      <c r="G57" s="130"/>
    </row>
    <row r="58" spans="1:7" ht="27.75" customHeight="1">
      <c r="A58" s="360"/>
      <c r="B58" s="359"/>
      <c r="C58" s="120" t="s">
        <v>369</v>
      </c>
      <c r="D58" s="120" t="s">
        <v>370</v>
      </c>
      <c r="E58" s="46" t="s">
        <v>108</v>
      </c>
      <c r="F58" s="46">
        <f t="shared" si="0"/>
        <v>3.9</v>
      </c>
      <c r="G58" s="130"/>
    </row>
    <row r="59" spans="1:7" ht="27.75" customHeight="1">
      <c r="A59" s="360"/>
      <c r="B59" s="359"/>
      <c r="C59" s="120" t="s">
        <v>371</v>
      </c>
      <c r="D59" s="120" t="s">
        <v>372</v>
      </c>
      <c r="E59" s="46" t="s">
        <v>108</v>
      </c>
      <c r="F59" s="46">
        <f t="shared" si="0"/>
        <v>3.9</v>
      </c>
      <c r="G59" s="130"/>
    </row>
    <row r="60" spans="1:7" ht="27.6" customHeight="1">
      <c r="A60" s="360"/>
      <c r="B60" s="359"/>
      <c r="C60" s="120" t="s">
        <v>373</v>
      </c>
      <c r="D60" s="120" t="s">
        <v>374</v>
      </c>
      <c r="E60" s="46" t="s">
        <v>104</v>
      </c>
      <c r="F60" s="46">
        <f t="shared" si="0"/>
        <v>7.5</v>
      </c>
      <c r="G60" s="130"/>
    </row>
    <row r="61" spans="1:7" ht="27.75" customHeight="1">
      <c r="A61" s="360"/>
      <c r="B61" s="359"/>
      <c r="C61" s="120" t="s">
        <v>375</v>
      </c>
      <c r="D61" s="120" t="s">
        <v>376</v>
      </c>
      <c r="E61" s="46" t="s">
        <v>104</v>
      </c>
      <c r="F61" s="46">
        <f t="shared" si="0"/>
        <v>7.5</v>
      </c>
      <c r="G61" s="130"/>
    </row>
    <row r="62" spans="1:7" ht="27.75" customHeight="1">
      <c r="A62" s="360"/>
      <c r="B62" s="359"/>
      <c r="C62" s="120" t="s">
        <v>377</v>
      </c>
      <c r="D62" s="120" t="s">
        <v>378</v>
      </c>
      <c r="E62" s="46" t="s">
        <v>107</v>
      </c>
      <c r="F62" s="46">
        <f t="shared" si="0"/>
        <v>5.2</v>
      </c>
      <c r="G62" s="130"/>
    </row>
    <row r="63" spans="1:7" ht="27.75" customHeight="1">
      <c r="A63" s="360"/>
      <c r="B63" s="359"/>
      <c r="C63" s="120" t="s">
        <v>379</v>
      </c>
      <c r="D63" s="120" t="s">
        <v>380</v>
      </c>
      <c r="E63" s="46" t="s">
        <v>107</v>
      </c>
      <c r="F63" s="46">
        <f t="shared" si="0"/>
        <v>5.2</v>
      </c>
      <c r="G63" s="130"/>
    </row>
    <row r="64" spans="1:7" ht="27.75" customHeight="1">
      <c r="A64" s="360"/>
      <c r="B64" s="359"/>
      <c r="C64" s="120" t="s">
        <v>381</v>
      </c>
      <c r="D64" s="120" t="s">
        <v>382</v>
      </c>
      <c r="E64" s="46" t="s">
        <v>107</v>
      </c>
      <c r="F64" s="46">
        <f t="shared" si="0"/>
        <v>5.2</v>
      </c>
      <c r="G64" s="130"/>
    </row>
    <row r="65" spans="1:7" ht="27.75" customHeight="1">
      <c r="A65" s="360"/>
      <c r="B65" s="359"/>
      <c r="C65" s="120" t="s">
        <v>383</v>
      </c>
      <c r="D65" s="120" t="s">
        <v>384</v>
      </c>
      <c r="E65" s="46" t="s">
        <v>108</v>
      </c>
      <c r="F65" s="46">
        <f t="shared" si="0"/>
        <v>3.9</v>
      </c>
      <c r="G65" s="130"/>
    </row>
    <row r="66" spans="1:7" ht="27.75" customHeight="1">
      <c r="A66" s="360"/>
      <c r="B66" s="359"/>
      <c r="C66" s="120" t="s">
        <v>385</v>
      </c>
      <c r="D66" s="120" t="s">
        <v>386</v>
      </c>
      <c r="E66" s="46" t="s">
        <v>107</v>
      </c>
      <c r="F66" s="46">
        <f t="shared" si="0"/>
        <v>5.2</v>
      </c>
      <c r="G66" s="130"/>
    </row>
    <row r="67" spans="1:7" ht="27.75" customHeight="1">
      <c r="A67" s="360"/>
      <c r="B67" s="359"/>
      <c r="C67" s="120" t="s">
        <v>387</v>
      </c>
      <c r="D67" s="120" t="s">
        <v>388</v>
      </c>
      <c r="E67" s="46" t="s">
        <v>104</v>
      </c>
      <c r="F67" s="46">
        <f t="shared" si="0"/>
        <v>7.5</v>
      </c>
      <c r="G67" s="139"/>
    </row>
    <row r="68" spans="1:7">
      <c r="F68" t="str">
        <f t="shared" si="0"/>
        <v/>
      </c>
    </row>
    <row r="69" spans="1:7">
      <c r="A69" t="s">
        <v>242</v>
      </c>
      <c r="F69" s="45">
        <f>SUM(F4:F67)</f>
        <v>350.99999999999983</v>
      </c>
    </row>
    <row r="70" spans="1:7">
      <c r="A70" t="s">
        <v>243</v>
      </c>
    </row>
    <row r="71" spans="1:7">
      <c r="A71" t="s">
        <v>244</v>
      </c>
    </row>
    <row r="73" spans="1:7">
      <c r="A73" t="s">
        <v>245</v>
      </c>
    </row>
    <row r="74" spans="1:7">
      <c r="A74" t="s">
        <v>246</v>
      </c>
    </row>
    <row r="75" spans="1:7">
      <c r="A75" t="s">
        <v>247</v>
      </c>
    </row>
    <row r="76" spans="1:7">
      <c r="A76" t="s">
        <v>248</v>
      </c>
    </row>
    <row r="77" spans="1:7">
      <c r="A77" t="s">
        <v>249</v>
      </c>
    </row>
    <row r="78" spans="1:7">
      <c r="A78" t="s">
        <v>250</v>
      </c>
    </row>
    <row r="79" spans="1:7">
      <c r="A79" t="s">
        <v>251</v>
      </c>
    </row>
    <row r="80" spans="1:7">
      <c r="A80" t="s">
        <v>252</v>
      </c>
    </row>
    <row r="81" spans="1:7">
      <c r="A81" t="s">
        <v>253</v>
      </c>
    </row>
    <row r="82" spans="1:7">
      <c r="A82" t="s">
        <v>254</v>
      </c>
    </row>
    <row r="83" spans="1:7">
      <c r="A83" t="s">
        <v>255</v>
      </c>
    </row>
    <row r="84" spans="1:7">
      <c r="G84" t="str">
        <f>IF(F84="","",IF(F84="EI",4,IF(F84="EO",5.2,IF(F84="EQ",3.9,IF(F84="ILF",7.5,IF(F84="EIF",5.4))))))</f>
        <v/>
      </c>
    </row>
  </sheetData>
  <mergeCells count="7">
    <mergeCell ref="B4:B23"/>
    <mergeCell ref="A4:A67"/>
    <mergeCell ref="B44:B67"/>
    <mergeCell ref="B24:B43"/>
    <mergeCell ref="A1:G1"/>
    <mergeCell ref="A2:D2"/>
    <mergeCell ref="G2:G3"/>
  </mergeCells>
  <phoneticPr fontId="4" type="noConversion"/>
  <pageMargins left="0.7" right="0.7" top="0.75" bottom="0.75" header="0.3" footer="0.3"/>
  <pageSetup paperSize="9" scale="55" orientation="portrait" r:id="rId1"/>
  <rowBreaks count="1" manualBreakCount="1">
    <brk id="4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5"/>
  <sheetViews>
    <sheetView view="pageBreakPreview" topLeftCell="A12" zoomScale="85" zoomScaleNormal="85" zoomScaleSheetLayoutView="85" workbookViewId="0">
      <selection activeCell="K10" sqref="K10"/>
    </sheetView>
  </sheetViews>
  <sheetFormatPr defaultRowHeight="16.5"/>
  <cols>
    <col min="10" max="10" width="11.5" bestFit="1" customWidth="1"/>
    <col min="13" max="13" width="127.625" bestFit="1" customWidth="1"/>
  </cols>
  <sheetData>
    <row r="1" spans="1:11" ht="26.25">
      <c r="A1" s="324" t="s">
        <v>389</v>
      </c>
      <c r="B1" s="324"/>
      <c r="C1" s="324"/>
      <c r="D1" s="325"/>
      <c r="E1" s="325"/>
      <c r="F1" s="325"/>
      <c r="G1" s="325"/>
      <c r="H1" s="325"/>
      <c r="I1" s="325"/>
      <c r="J1" s="325"/>
      <c r="K1" s="325"/>
    </row>
    <row r="2" spans="1:11">
      <c r="A2" s="1"/>
      <c r="B2" s="1"/>
      <c r="C2" s="1"/>
      <c r="D2" s="2"/>
      <c r="E2" s="2"/>
      <c r="F2" s="2"/>
      <c r="G2" s="2"/>
      <c r="H2" s="2"/>
      <c r="I2" s="2"/>
      <c r="J2" s="2"/>
      <c r="K2" s="3" t="s">
        <v>64</v>
      </c>
    </row>
    <row r="3" spans="1:11">
      <c r="A3" s="4"/>
      <c r="B3" s="4"/>
      <c r="C3" s="4"/>
      <c r="D3" s="2"/>
      <c r="E3" s="2"/>
      <c r="F3" s="2"/>
      <c r="G3" s="2"/>
      <c r="H3" s="2"/>
      <c r="I3" s="2"/>
      <c r="J3" s="2"/>
      <c r="K3" s="2"/>
    </row>
    <row r="4" spans="1:11">
      <c r="A4" s="5" t="s">
        <v>65</v>
      </c>
      <c r="B4" s="5"/>
      <c r="C4" s="5"/>
      <c r="D4" s="6"/>
      <c r="E4" s="6"/>
      <c r="F4" s="6"/>
      <c r="G4" s="6"/>
      <c r="H4" s="6"/>
      <c r="I4" s="6"/>
      <c r="J4" s="305" t="s">
        <v>66</v>
      </c>
      <c r="K4" s="305"/>
    </row>
    <row r="5" spans="1:11">
      <c r="A5" s="326" t="s">
        <v>67</v>
      </c>
      <c r="B5" s="327"/>
      <c r="C5" s="330" t="s">
        <v>68</v>
      </c>
      <c r="D5" s="331"/>
      <c r="E5" s="334" t="s">
        <v>69</v>
      </c>
      <c r="F5" s="301"/>
      <c r="G5" s="301"/>
      <c r="H5" s="301"/>
      <c r="I5" s="327"/>
      <c r="J5" s="335" t="s">
        <v>70</v>
      </c>
      <c r="K5" s="337" t="s">
        <v>71</v>
      </c>
    </row>
    <row r="6" spans="1:11">
      <c r="A6" s="328"/>
      <c r="B6" s="329"/>
      <c r="C6" s="332"/>
      <c r="D6" s="333"/>
      <c r="E6" s="7" t="s">
        <v>72</v>
      </c>
      <c r="F6" s="8" t="s">
        <v>73</v>
      </c>
      <c r="G6" s="7" t="s">
        <v>74</v>
      </c>
      <c r="H6" s="8" t="s">
        <v>75</v>
      </c>
      <c r="I6" s="7" t="s">
        <v>76</v>
      </c>
      <c r="J6" s="336"/>
      <c r="K6" s="338"/>
    </row>
    <row r="7" spans="1:11">
      <c r="A7" s="339">
        <f>I31</f>
        <v>118.19999999999999</v>
      </c>
      <c r="B7" s="340"/>
      <c r="C7" s="341">
        <v>605784</v>
      </c>
      <c r="D7" s="342"/>
      <c r="E7" s="9">
        <f>J22</f>
        <v>1.28</v>
      </c>
      <c r="F7" s="10">
        <f>J23</f>
        <v>1.06</v>
      </c>
      <c r="G7" s="11">
        <f>J24</f>
        <v>1</v>
      </c>
      <c r="H7" s="12">
        <f>J25</f>
        <v>1</v>
      </c>
      <c r="I7" s="10">
        <f>J26</f>
        <v>1</v>
      </c>
      <c r="J7" s="13">
        <f>PRODUCT(A7:I7)</f>
        <v>97151857.82784</v>
      </c>
      <c r="K7" s="14"/>
    </row>
    <row r="8" spans="1:11">
      <c r="A8" s="343" t="s">
        <v>77</v>
      </c>
      <c r="B8" s="344"/>
      <c r="C8" s="344"/>
      <c r="D8" s="344"/>
      <c r="E8" s="344"/>
      <c r="F8" s="344"/>
      <c r="G8" s="344"/>
      <c r="H8" s="344"/>
      <c r="I8" s="15"/>
      <c r="J8" s="16">
        <f>SUM(J7:K7)</f>
        <v>97151857.82784</v>
      </c>
      <c r="K8" s="17"/>
    </row>
    <row r="9" spans="1:11">
      <c r="A9" s="345" t="s">
        <v>78</v>
      </c>
      <c r="B9" s="346"/>
      <c r="C9" s="346"/>
      <c r="D9" s="346"/>
      <c r="E9" s="346"/>
      <c r="F9" s="346"/>
      <c r="G9" s="346"/>
      <c r="H9" s="346"/>
      <c r="I9" s="18">
        <v>0.19500000000000001</v>
      </c>
      <c r="J9" s="19">
        <f>J8*I9</f>
        <v>18944612.2764288</v>
      </c>
      <c r="K9" s="20"/>
    </row>
    <row r="10" spans="1:11">
      <c r="A10" s="347" t="s">
        <v>79</v>
      </c>
      <c r="B10" s="348"/>
      <c r="C10" s="348"/>
      <c r="D10" s="348"/>
      <c r="E10" s="348"/>
      <c r="F10" s="348"/>
      <c r="G10" s="348"/>
      <c r="H10" s="348"/>
      <c r="I10" s="21"/>
      <c r="J10" s="22">
        <v>-2641000</v>
      </c>
      <c r="K10" s="23"/>
    </row>
    <row r="11" spans="1:11">
      <c r="A11" s="303" t="s">
        <v>80</v>
      </c>
      <c r="B11" s="304"/>
      <c r="C11" s="304"/>
      <c r="D11" s="304"/>
      <c r="E11" s="304"/>
      <c r="F11" s="304"/>
      <c r="G11" s="304"/>
      <c r="H11" s="304"/>
      <c r="I11" s="24"/>
      <c r="J11" s="25">
        <f>J8+J9+J10</f>
        <v>113455470.1042688</v>
      </c>
      <c r="K11" s="26"/>
    </row>
    <row r="12" spans="1:11">
      <c r="A12" s="303" t="s">
        <v>81</v>
      </c>
      <c r="B12" s="304"/>
      <c r="C12" s="304"/>
      <c r="D12" s="304"/>
      <c r="E12" s="304"/>
      <c r="F12" s="304"/>
      <c r="G12" s="304"/>
      <c r="H12" s="304"/>
      <c r="I12" s="24"/>
      <c r="J12" s="25">
        <f>ROUNDDOWN(J11*1.1, -5)</f>
        <v>124800000</v>
      </c>
      <c r="K12" s="26"/>
    </row>
    <row r="13" spans="1:11">
      <c r="A13" s="27"/>
      <c r="B13" s="27"/>
      <c r="C13" s="27"/>
      <c r="D13" s="6"/>
      <c r="E13" s="6"/>
      <c r="F13" s="6"/>
      <c r="G13" s="6"/>
      <c r="H13" s="6"/>
      <c r="I13" s="6"/>
      <c r="J13" s="6"/>
      <c r="K13" s="28"/>
    </row>
    <row r="14" spans="1:11">
      <c r="A14" s="29" t="s">
        <v>82</v>
      </c>
      <c r="B14" s="5"/>
      <c r="C14" s="5"/>
      <c r="D14" s="6"/>
      <c r="E14" s="6"/>
      <c r="F14" s="6"/>
      <c r="G14" s="6"/>
      <c r="H14" s="6"/>
      <c r="I14" s="6"/>
      <c r="J14" s="305" t="s">
        <v>66</v>
      </c>
      <c r="K14" s="305"/>
    </row>
    <row r="15" spans="1:11">
      <c r="A15" s="306" t="s">
        <v>83</v>
      </c>
      <c r="B15" s="307"/>
      <c r="C15" s="308" t="s">
        <v>84</v>
      </c>
      <c r="D15" s="308"/>
      <c r="E15" s="308"/>
      <c r="F15" s="308"/>
      <c r="G15" s="308"/>
      <c r="H15" s="308"/>
      <c r="I15" s="308"/>
      <c r="J15" s="309" t="s">
        <v>85</v>
      </c>
      <c r="K15" s="310"/>
    </row>
    <row r="16" spans="1:11" ht="29.45" customHeight="1">
      <c r="A16" s="311"/>
      <c r="B16" s="312"/>
      <c r="C16" s="313"/>
      <c r="D16" s="314"/>
      <c r="E16" s="314"/>
      <c r="F16" s="314"/>
      <c r="G16" s="314"/>
      <c r="H16" s="314"/>
      <c r="I16" s="314"/>
      <c r="J16" s="315"/>
      <c r="K16" s="316"/>
    </row>
    <row r="17" spans="1:14">
      <c r="A17" s="317"/>
      <c r="B17" s="318"/>
      <c r="C17" s="319"/>
      <c r="D17" s="319"/>
      <c r="E17" s="319"/>
      <c r="F17" s="319"/>
      <c r="G17" s="319"/>
      <c r="H17" s="319"/>
      <c r="I17" s="319"/>
      <c r="J17" s="320"/>
      <c r="K17" s="321"/>
    </row>
    <row r="18" spans="1:14">
      <c r="A18" s="303" t="s">
        <v>86</v>
      </c>
      <c r="B18" s="304"/>
      <c r="C18" s="304"/>
      <c r="D18" s="304"/>
      <c r="E18" s="304"/>
      <c r="F18" s="304"/>
      <c r="G18" s="304"/>
      <c r="H18" s="304"/>
      <c r="I18" s="304"/>
      <c r="J18" s="322">
        <f>SUM(J16:K17)</f>
        <v>0</v>
      </c>
      <c r="K18" s="323"/>
    </row>
    <row r="19" spans="1:1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4">
      <c r="A20" s="5" t="s">
        <v>87</v>
      </c>
      <c r="B20" s="5"/>
      <c r="C20" s="5"/>
      <c r="D20" s="27"/>
      <c r="E20" s="27"/>
      <c r="F20" s="27"/>
      <c r="G20" s="27"/>
      <c r="H20" s="27"/>
      <c r="I20" s="27"/>
      <c r="J20" s="6"/>
      <c r="K20" s="6"/>
    </row>
    <row r="21" spans="1:14">
      <c r="A21" s="299" t="s">
        <v>88</v>
      </c>
      <c r="B21" s="300"/>
      <c r="C21" s="300" t="s">
        <v>89</v>
      </c>
      <c r="D21" s="300"/>
      <c r="E21" s="300"/>
      <c r="F21" s="300"/>
      <c r="G21" s="300"/>
      <c r="H21" s="300"/>
      <c r="I21" s="300"/>
      <c r="J21" s="301" t="s">
        <v>69</v>
      </c>
      <c r="K21" s="302"/>
    </row>
    <row r="22" spans="1:14" ht="35.25" customHeight="1">
      <c r="A22" s="288" t="s">
        <v>90</v>
      </c>
      <c r="B22" s="289"/>
      <c r="C22" s="295" t="str">
        <f>"= 0.4057 x (log e("&amp;A7&amp;") - 7.1978)^2 + 0.8878
   (단, 500FP 미만 1.28, 3,000FP 초과 1.153 적용)"</f>
        <v>= 0.4057 x (log e(118.2) - 7.1978)^2 + 0.8878
   (단, 500FP 미만 1.28, 3,000FP 초과 1.153 적용)</v>
      </c>
      <c r="D22" s="296"/>
      <c r="E22" s="296"/>
      <c r="F22" s="296"/>
      <c r="G22" s="296"/>
      <c r="H22" s="296"/>
      <c r="I22" s="289"/>
      <c r="J22" s="297">
        <f>IF(A7&lt;500,1.28,IF(A7&gt;3000,1.153,0.4057*(LN(A7)-7.1978)^2+0.8878))</f>
        <v>1.28</v>
      </c>
      <c r="K22" s="298"/>
    </row>
    <row r="23" spans="1:14">
      <c r="A23" s="288" t="s">
        <v>73</v>
      </c>
      <c r="B23" s="289"/>
      <c r="C23" s="290" t="s">
        <v>100</v>
      </c>
      <c r="D23" s="291"/>
      <c r="E23" s="291"/>
      <c r="F23" s="291"/>
      <c r="G23" s="291"/>
      <c r="H23" s="291"/>
      <c r="I23" s="292"/>
      <c r="J23" s="293">
        <f>VLOOKUP(C23,M23:N27,2,1)</f>
        <v>1.06</v>
      </c>
      <c r="K23" s="294"/>
      <c r="M23" t="s">
        <v>92</v>
      </c>
      <c r="N23">
        <v>0.88</v>
      </c>
    </row>
    <row r="24" spans="1:14">
      <c r="A24" s="288" t="s">
        <v>93</v>
      </c>
      <c r="B24" s="289"/>
      <c r="C24" s="290" t="s">
        <v>94</v>
      </c>
      <c r="D24" s="291"/>
      <c r="E24" s="291"/>
      <c r="F24" s="291"/>
      <c r="G24" s="291"/>
      <c r="H24" s="291"/>
      <c r="I24" s="292"/>
      <c r="J24" s="293">
        <f>VLOOKUP(C24,M28:N32,2,1)</f>
        <v>1</v>
      </c>
      <c r="K24" s="294"/>
      <c r="M24" t="s">
        <v>91</v>
      </c>
      <c r="N24">
        <v>0.94</v>
      </c>
    </row>
    <row r="25" spans="1:14" ht="31.5" customHeight="1">
      <c r="A25" s="288" t="s">
        <v>95</v>
      </c>
      <c r="B25" s="289"/>
      <c r="C25" s="290" t="s">
        <v>96</v>
      </c>
      <c r="D25" s="291"/>
      <c r="E25" s="291"/>
      <c r="F25" s="291"/>
      <c r="G25" s="291"/>
      <c r="H25" s="291"/>
      <c r="I25" s="292"/>
      <c r="J25" s="293">
        <f>VLOOKUP(C25,M33:N37,2,1)</f>
        <v>1</v>
      </c>
      <c r="K25" s="294"/>
      <c r="M25" t="s">
        <v>97</v>
      </c>
      <c r="N25">
        <v>1</v>
      </c>
    </row>
    <row r="26" spans="1:14">
      <c r="A26" s="272" t="s">
        <v>98</v>
      </c>
      <c r="B26" s="273"/>
      <c r="C26" s="274" t="s">
        <v>99</v>
      </c>
      <c r="D26" s="275"/>
      <c r="E26" s="275"/>
      <c r="F26" s="275"/>
      <c r="G26" s="275"/>
      <c r="H26" s="275"/>
      <c r="I26" s="276"/>
      <c r="J26" s="277">
        <f>VLOOKUP(C26,M38:N42,2,1)</f>
        <v>1</v>
      </c>
      <c r="K26" s="278"/>
      <c r="M26" t="s">
        <v>100</v>
      </c>
      <c r="N26">
        <v>1.06</v>
      </c>
    </row>
    <row r="27" spans="1:14">
      <c r="A27" s="30"/>
      <c r="B27" s="30"/>
      <c r="C27" s="30"/>
      <c r="D27" s="30"/>
      <c r="E27" s="30"/>
      <c r="F27" s="30"/>
      <c r="G27" s="30"/>
      <c r="H27" s="30"/>
      <c r="I27" s="30"/>
      <c r="J27" s="31"/>
      <c r="K27" s="31"/>
      <c r="M27" t="s">
        <v>101</v>
      </c>
      <c r="N27">
        <v>1.1200000000000001</v>
      </c>
    </row>
    <row r="28" spans="1:14">
      <c r="A28" s="32" t="s">
        <v>102</v>
      </c>
      <c r="B28" s="32"/>
      <c r="C28" s="32"/>
      <c r="D28" s="33"/>
      <c r="E28" s="33"/>
      <c r="F28" s="33"/>
      <c r="G28" s="33"/>
      <c r="H28" s="33"/>
      <c r="I28" s="33"/>
      <c r="J28" s="33"/>
      <c r="K28" s="33"/>
      <c r="M28" t="s">
        <v>103</v>
      </c>
      <c r="N28">
        <v>0.91</v>
      </c>
    </row>
    <row r="29" spans="1:14">
      <c r="A29" s="34" t="s">
        <v>83</v>
      </c>
      <c r="B29" s="35"/>
      <c r="C29" s="35"/>
      <c r="D29" s="34" t="s">
        <v>104</v>
      </c>
      <c r="E29" s="34" t="s">
        <v>105</v>
      </c>
      <c r="F29" s="34" t="s">
        <v>106</v>
      </c>
      <c r="G29" s="34" t="s">
        <v>107</v>
      </c>
      <c r="H29" s="34" t="s">
        <v>108</v>
      </c>
      <c r="I29" s="279" t="s">
        <v>109</v>
      </c>
      <c r="J29" s="280"/>
      <c r="K29" s="281"/>
      <c r="M29" t="s">
        <v>110</v>
      </c>
      <c r="N29">
        <v>0.95</v>
      </c>
    </row>
    <row r="30" spans="1:14">
      <c r="A30" s="36" t="s">
        <v>111</v>
      </c>
      <c r="B30" s="37"/>
      <c r="C30" s="37"/>
      <c r="D30" s="38">
        <f>COUNTIF('04.데이터 분석 기능 FP산정'!E4:E76,"ILF")</f>
        <v>6</v>
      </c>
      <c r="E30" s="38">
        <f>COUNTIF('04.데이터 분석 기능 FP산정'!E4:E76,"EIF")</f>
        <v>0</v>
      </c>
      <c r="F30" s="38">
        <f>COUNTIF('04.데이터 분석 기능 FP산정'!E4:E76,"EI")</f>
        <v>4</v>
      </c>
      <c r="G30" s="38">
        <f>COUNTIF('04.데이터 분석 기능 FP산정'!E4:E76,"EO")</f>
        <v>8</v>
      </c>
      <c r="H30" s="38">
        <f>COUNTIF('04.데이터 분석 기능 FP산정'!E4:E76,"EQ")</f>
        <v>4</v>
      </c>
      <c r="I30" s="282">
        <f>SUM(D30:H30)</f>
        <v>22</v>
      </c>
      <c r="J30" s="283"/>
      <c r="K30" s="284"/>
      <c r="M30" t="s">
        <v>94</v>
      </c>
      <c r="N30">
        <v>1</v>
      </c>
    </row>
    <row r="31" spans="1:14">
      <c r="A31" s="36" t="s">
        <v>112</v>
      </c>
      <c r="B31" s="37"/>
      <c r="C31" s="37"/>
      <c r="D31" s="38">
        <f>SUMIF('04.데이터 분석 기능 FP산정'!E4:E76,"ILF",'04.데이터 분석 기능 FP산정'!$F4:$F76)</f>
        <v>45</v>
      </c>
      <c r="E31" s="38">
        <f>SUMIF('04.데이터 분석 기능 FP산정'!E4:E76,"EIF",'04.데이터 분석 기능 FP산정'!$F4:$F76)</f>
        <v>0</v>
      </c>
      <c r="F31" s="38">
        <f>SUMIF('04.데이터 분석 기능 FP산정'!E4:E76,"EI",'04.데이터 분석 기능 FP산정'!$F4:$F76)</f>
        <v>16</v>
      </c>
      <c r="G31" s="38">
        <f>SUMIF('04.데이터 분석 기능 FP산정'!E4:E76,"EO",'04.데이터 분석 기능 FP산정'!$F4:$F76)</f>
        <v>41.6</v>
      </c>
      <c r="H31" s="38">
        <f>SUMIF('04.데이터 분석 기능 FP산정'!E4:E76,"EQ",'04.데이터 분석 기능 FP산정'!$F4:$F76)</f>
        <v>15.6</v>
      </c>
      <c r="I31" s="285">
        <f>SUM(D31:H31)</f>
        <v>118.19999999999999</v>
      </c>
      <c r="J31" s="286"/>
      <c r="K31" s="287"/>
      <c r="M31" t="s">
        <v>113</v>
      </c>
      <c r="N31">
        <v>1.05</v>
      </c>
    </row>
    <row r="32" spans="1:14">
      <c r="A32" s="39" t="s">
        <v>114</v>
      </c>
      <c r="B32" s="40"/>
      <c r="C32" s="40"/>
      <c r="D32" s="41">
        <f>IF($I$31&gt;0,D31/$I$31,"-")</f>
        <v>0.38071065989847719</v>
      </c>
      <c r="E32" s="41">
        <f t="shared" ref="E32:H32" si="0">IF($I$31&gt;0,E31/$I$31,"-")</f>
        <v>0</v>
      </c>
      <c r="F32" s="41">
        <f t="shared" si="0"/>
        <v>0.13536379018612524</v>
      </c>
      <c r="G32" s="41">
        <f t="shared" si="0"/>
        <v>0.35194585448392557</v>
      </c>
      <c r="H32" s="41">
        <f t="shared" si="0"/>
        <v>0.13197969543147209</v>
      </c>
      <c r="I32" s="269">
        <f t="shared" ref="I32" si="1">SUM(D32:H32)</f>
        <v>1</v>
      </c>
      <c r="J32" s="270"/>
      <c r="K32" s="271"/>
      <c r="M32" t="s">
        <v>115</v>
      </c>
      <c r="N32">
        <v>1.0900000000000001</v>
      </c>
    </row>
    <row r="33" spans="1:14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M33" t="s">
        <v>116</v>
      </c>
      <c r="N33">
        <v>0.94</v>
      </c>
    </row>
    <row r="34" spans="1:1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M34" t="s">
        <v>96</v>
      </c>
      <c r="N34">
        <v>1</v>
      </c>
    </row>
    <row r="35" spans="1:14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M35" t="s">
        <v>117</v>
      </c>
      <c r="N35">
        <v>1.06</v>
      </c>
    </row>
    <row r="36" spans="1:14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M36" t="s">
        <v>118</v>
      </c>
      <c r="N36">
        <v>1.1299999999999999</v>
      </c>
    </row>
    <row r="37" spans="1:14">
      <c r="M37" t="s">
        <v>119</v>
      </c>
      <c r="N37">
        <v>1.19</v>
      </c>
    </row>
    <row r="38" spans="1:14">
      <c r="M38" t="s">
        <v>120</v>
      </c>
      <c r="N38">
        <v>0.97</v>
      </c>
    </row>
    <row r="39" spans="1:14">
      <c r="M39" t="s">
        <v>99</v>
      </c>
      <c r="N39">
        <v>1</v>
      </c>
    </row>
    <row r="40" spans="1:14">
      <c r="M40" t="s">
        <v>121</v>
      </c>
      <c r="N40">
        <v>1.03</v>
      </c>
    </row>
    <row r="41" spans="1:14">
      <c r="M41" t="s">
        <v>122</v>
      </c>
      <c r="N41">
        <v>1.06</v>
      </c>
    </row>
    <row r="42" spans="1:14">
      <c r="M42" t="s">
        <v>123</v>
      </c>
      <c r="N42">
        <v>1.08</v>
      </c>
    </row>
    <row r="44" spans="1:14">
      <c r="A44" t="s">
        <v>124</v>
      </c>
    </row>
    <row r="45" spans="1:14">
      <c r="A45" s="44" t="s">
        <v>125</v>
      </c>
    </row>
  </sheetData>
  <mergeCells count="48">
    <mergeCell ref="A11:H11"/>
    <mergeCell ref="A1:K1"/>
    <mergeCell ref="J4:K4"/>
    <mergeCell ref="A5:B6"/>
    <mergeCell ref="C5:D6"/>
    <mergeCell ref="E5:I5"/>
    <mergeCell ref="J5:J6"/>
    <mergeCell ref="K5:K6"/>
    <mergeCell ref="A7:B7"/>
    <mergeCell ref="C7:D7"/>
    <mergeCell ref="A8:H8"/>
    <mergeCell ref="A9:H9"/>
    <mergeCell ref="A10:H10"/>
    <mergeCell ref="A21:B21"/>
    <mergeCell ref="C21:I21"/>
    <mergeCell ref="J21:K21"/>
    <mergeCell ref="A12:H12"/>
    <mergeCell ref="J14:K14"/>
    <mergeCell ref="A15:B15"/>
    <mergeCell ref="C15:I15"/>
    <mergeCell ref="J15:K15"/>
    <mergeCell ref="A16:B16"/>
    <mergeCell ref="C16:I16"/>
    <mergeCell ref="J16:K16"/>
    <mergeCell ref="A17:B17"/>
    <mergeCell ref="C17:I17"/>
    <mergeCell ref="J17:K17"/>
    <mergeCell ref="A18:I18"/>
    <mergeCell ref="J18:K18"/>
    <mergeCell ref="A22:B22"/>
    <mergeCell ref="C22:I22"/>
    <mergeCell ref="J22:K22"/>
    <mergeCell ref="A23:B23"/>
    <mergeCell ref="C23:I23"/>
    <mergeCell ref="J23:K23"/>
    <mergeCell ref="A24:B24"/>
    <mergeCell ref="C24:I24"/>
    <mergeCell ref="J24:K24"/>
    <mergeCell ref="A25:B25"/>
    <mergeCell ref="C25:I25"/>
    <mergeCell ref="J25:K25"/>
    <mergeCell ref="I32:K32"/>
    <mergeCell ref="A26:B26"/>
    <mergeCell ref="C26:I26"/>
    <mergeCell ref="J26:K26"/>
    <mergeCell ref="I29:K29"/>
    <mergeCell ref="I30:K30"/>
    <mergeCell ref="I31:K31"/>
  </mergeCells>
  <phoneticPr fontId="4" type="noConversion"/>
  <dataValidations count="4">
    <dataValidation type="list" allowBlank="1" showInputMessage="1" showErrorMessage="1" sqref="C26:I26" xr:uid="{00000000-0002-0000-0600-000000000000}">
      <formula1>$M$38:$M$42</formula1>
    </dataValidation>
    <dataValidation type="list" allowBlank="1" showInputMessage="1" showErrorMessage="1" sqref="C25:I25" xr:uid="{00000000-0002-0000-0600-000001000000}">
      <formula1>$M$33:$M$37</formula1>
    </dataValidation>
    <dataValidation type="list" allowBlank="1" showInputMessage="1" showErrorMessage="1" sqref="C24:I24" xr:uid="{00000000-0002-0000-0600-000002000000}">
      <formula1>$M$28:$M$32</formula1>
    </dataValidation>
    <dataValidation type="list" allowBlank="1" showInputMessage="1" showErrorMessage="1" sqref="C23:I23" xr:uid="{00000000-0002-0000-0600-000003000000}">
      <formula1>$M$23:$M$27</formula1>
    </dataValidation>
  </dataValidations>
  <pageMargins left="0.7" right="0.7" top="0.75" bottom="0.75" header="0.3" footer="0.3"/>
  <pageSetup paperSize="9" scale="79" orientation="portrait" r:id="rId1"/>
  <colBreaks count="1" manualBreakCount="1">
    <brk id="11" max="4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1"/>
  <sheetViews>
    <sheetView view="pageBreakPreview" zoomScale="70" zoomScaleNormal="55" zoomScaleSheetLayoutView="70" workbookViewId="0">
      <selection activeCell="D16" sqref="D16"/>
    </sheetView>
  </sheetViews>
  <sheetFormatPr defaultRowHeight="16.5"/>
  <cols>
    <col min="1" max="1" width="17.625" customWidth="1"/>
    <col min="2" max="2" width="20" bestFit="1" customWidth="1"/>
    <col min="3" max="3" width="23.375" customWidth="1"/>
    <col min="4" max="4" width="43.5" bestFit="1" customWidth="1"/>
    <col min="5" max="5" width="23.5" bestFit="1" customWidth="1"/>
    <col min="6" max="7" width="11.625" customWidth="1"/>
  </cols>
  <sheetData>
    <row r="1" spans="1:7" ht="45">
      <c r="A1" s="354" t="s">
        <v>390</v>
      </c>
      <c r="B1" s="354"/>
      <c r="C1" s="354"/>
      <c r="D1" s="354"/>
      <c r="E1" s="354"/>
      <c r="F1" s="354"/>
      <c r="G1" s="354"/>
    </row>
    <row r="2" spans="1:7" ht="57" customHeight="1">
      <c r="A2" s="362" t="s">
        <v>127</v>
      </c>
      <c r="B2" s="362"/>
      <c r="C2" s="362"/>
      <c r="D2" s="362"/>
      <c r="E2" s="143" t="s">
        <v>128</v>
      </c>
      <c r="F2" s="144" t="s">
        <v>129</v>
      </c>
      <c r="G2" s="362" t="s">
        <v>71</v>
      </c>
    </row>
    <row r="3" spans="1:7" ht="48.75" customHeight="1">
      <c r="A3" s="143" t="s">
        <v>130</v>
      </c>
      <c r="B3" s="144" t="s">
        <v>131</v>
      </c>
      <c r="C3" s="144" t="s">
        <v>132</v>
      </c>
      <c r="D3" s="144" t="s">
        <v>133</v>
      </c>
      <c r="E3" s="144" t="s">
        <v>134</v>
      </c>
      <c r="F3" s="144" t="s">
        <v>135</v>
      </c>
      <c r="G3" s="362"/>
    </row>
    <row r="4" spans="1:7" ht="27.75" customHeight="1">
      <c r="A4" s="363" t="s">
        <v>18</v>
      </c>
      <c r="B4" s="353" t="s">
        <v>391</v>
      </c>
      <c r="C4" s="120" t="s">
        <v>392</v>
      </c>
      <c r="D4" s="120" t="s">
        <v>393</v>
      </c>
      <c r="E4" s="46" t="s">
        <v>104</v>
      </c>
      <c r="F4" s="46">
        <f t="shared" ref="F4:F25" si="0">IF(E4="","",IF(E4="EI",4,IF(E4="EO",5.2,IF(E4="EQ",3.9,IF(E4="ILF",7.5,IF(E4="EIF",5.4))))))</f>
        <v>7.5</v>
      </c>
      <c r="G4" s="130"/>
    </row>
    <row r="5" spans="1:7" ht="27.75" customHeight="1">
      <c r="A5" s="363"/>
      <c r="B5" s="353"/>
      <c r="C5" s="120" t="s">
        <v>394</v>
      </c>
      <c r="D5" s="120" t="s">
        <v>395</v>
      </c>
      <c r="E5" s="46" t="s">
        <v>104</v>
      </c>
      <c r="F5" s="46">
        <f t="shared" si="0"/>
        <v>7.5</v>
      </c>
      <c r="G5" s="130"/>
    </row>
    <row r="6" spans="1:7" ht="27.75" customHeight="1">
      <c r="A6" s="363"/>
      <c r="B6" s="353"/>
      <c r="C6" s="120" t="s">
        <v>396</v>
      </c>
      <c r="D6" s="120" t="s">
        <v>397</v>
      </c>
      <c r="E6" s="46" t="s">
        <v>104</v>
      </c>
      <c r="F6" s="46">
        <f t="shared" si="0"/>
        <v>7.5</v>
      </c>
      <c r="G6" s="130"/>
    </row>
    <row r="7" spans="1:7" ht="27.75" customHeight="1">
      <c r="A7" s="363"/>
      <c r="B7" s="353"/>
      <c r="C7" s="120" t="s">
        <v>398</v>
      </c>
      <c r="D7" s="120" t="s">
        <v>399</v>
      </c>
      <c r="E7" s="46" t="s">
        <v>104</v>
      </c>
      <c r="F7" s="46">
        <f t="shared" si="0"/>
        <v>7.5</v>
      </c>
      <c r="G7" s="130"/>
    </row>
    <row r="8" spans="1:7" ht="27.75" customHeight="1">
      <c r="A8" s="363"/>
      <c r="B8" s="353"/>
      <c r="C8" s="120" t="s">
        <v>400</v>
      </c>
      <c r="D8" s="120" t="s">
        <v>401</v>
      </c>
      <c r="E8" s="46" t="s">
        <v>104</v>
      </c>
      <c r="F8" s="46">
        <f t="shared" si="0"/>
        <v>7.5</v>
      </c>
      <c r="G8" s="130"/>
    </row>
    <row r="9" spans="1:7" ht="27.75" customHeight="1">
      <c r="A9" s="363"/>
      <c r="B9" s="353"/>
      <c r="C9" s="120" t="s">
        <v>402</v>
      </c>
      <c r="D9" s="120" t="s">
        <v>403</v>
      </c>
      <c r="E9" s="46" t="s">
        <v>104</v>
      </c>
      <c r="F9" s="46">
        <f t="shared" si="0"/>
        <v>7.5</v>
      </c>
      <c r="G9" s="130"/>
    </row>
    <row r="10" spans="1:7" ht="27.75" customHeight="1">
      <c r="A10" s="363"/>
      <c r="B10" s="353"/>
      <c r="C10" s="120" t="s">
        <v>404</v>
      </c>
      <c r="D10" s="120" t="s">
        <v>405</v>
      </c>
      <c r="E10" s="46" t="s">
        <v>106</v>
      </c>
      <c r="F10" s="46">
        <f t="shared" si="0"/>
        <v>4</v>
      </c>
      <c r="G10" s="130"/>
    </row>
    <row r="11" spans="1:7" ht="27.75" customHeight="1">
      <c r="A11" s="363"/>
      <c r="B11" s="353"/>
      <c r="C11" s="120" t="s">
        <v>406</v>
      </c>
      <c r="D11" s="120" t="s">
        <v>407</v>
      </c>
      <c r="E11" s="46" t="s">
        <v>106</v>
      </c>
      <c r="F11" s="46">
        <f t="shared" si="0"/>
        <v>4</v>
      </c>
      <c r="G11" s="130"/>
    </row>
    <row r="12" spans="1:7" ht="27.75" customHeight="1">
      <c r="A12" s="363"/>
      <c r="B12" s="353"/>
      <c r="C12" s="120" t="s">
        <v>408</v>
      </c>
      <c r="D12" s="120" t="s">
        <v>409</v>
      </c>
      <c r="E12" s="46" t="s">
        <v>106</v>
      </c>
      <c r="F12" s="46">
        <f t="shared" si="0"/>
        <v>4</v>
      </c>
      <c r="G12" s="130"/>
    </row>
    <row r="13" spans="1:7" ht="27.75" customHeight="1">
      <c r="A13" s="363"/>
      <c r="B13" s="353"/>
      <c r="C13" s="120" t="s">
        <v>410</v>
      </c>
      <c r="D13" s="120" t="s">
        <v>411</v>
      </c>
      <c r="E13" s="46" t="s">
        <v>107</v>
      </c>
      <c r="F13" s="46">
        <f t="shared" si="0"/>
        <v>5.2</v>
      </c>
      <c r="G13" s="130"/>
    </row>
    <row r="14" spans="1:7" ht="27.75" customHeight="1">
      <c r="A14" s="363"/>
      <c r="B14" s="353"/>
      <c r="C14" s="120" t="s">
        <v>412</v>
      </c>
      <c r="D14" s="120" t="s">
        <v>413</v>
      </c>
      <c r="E14" s="46" t="s">
        <v>107</v>
      </c>
      <c r="F14" s="46">
        <f t="shared" si="0"/>
        <v>5.2</v>
      </c>
      <c r="G14" s="130"/>
    </row>
    <row r="15" spans="1:7" ht="27.75" customHeight="1">
      <c r="A15" s="363"/>
      <c r="B15" s="353"/>
      <c r="C15" s="120" t="s">
        <v>414</v>
      </c>
      <c r="D15" s="120" t="s">
        <v>415</v>
      </c>
      <c r="E15" s="46" t="s">
        <v>107</v>
      </c>
      <c r="F15" s="46">
        <f t="shared" si="0"/>
        <v>5.2</v>
      </c>
      <c r="G15" s="130"/>
    </row>
    <row r="16" spans="1:7" ht="27.75" customHeight="1">
      <c r="A16" s="363"/>
      <c r="B16" s="353"/>
      <c r="C16" s="120" t="s">
        <v>416</v>
      </c>
      <c r="D16" s="120" t="s">
        <v>417</v>
      </c>
      <c r="E16" s="46" t="s">
        <v>107</v>
      </c>
      <c r="F16" s="46">
        <f t="shared" si="0"/>
        <v>5.2</v>
      </c>
      <c r="G16" s="130"/>
    </row>
    <row r="17" spans="1:7" ht="27.75" customHeight="1">
      <c r="A17" s="363"/>
      <c r="B17" s="353"/>
      <c r="C17" s="120" t="s">
        <v>418</v>
      </c>
      <c r="D17" s="120" t="s">
        <v>419</v>
      </c>
      <c r="E17" s="46" t="s">
        <v>107</v>
      </c>
      <c r="F17" s="46">
        <f t="shared" si="0"/>
        <v>5.2</v>
      </c>
      <c r="G17" s="130"/>
    </row>
    <row r="18" spans="1:7" ht="27.75" customHeight="1">
      <c r="A18" s="363"/>
      <c r="B18" s="353"/>
      <c r="C18" s="120" t="s">
        <v>420</v>
      </c>
      <c r="D18" s="120" t="s">
        <v>421</v>
      </c>
      <c r="E18" s="46" t="s">
        <v>107</v>
      </c>
      <c r="F18" s="46">
        <f t="shared" si="0"/>
        <v>5.2</v>
      </c>
      <c r="G18" s="130"/>
    </row>
    <row r="19" spans="1:7" ht="27.75" customHeight="1">
      <c r="A19" s="363"/>
      <c r="B19" s="353"/>
      <c r="C19" s="120" t="s">
        <v>422</v>
      </c>
      <c r="D19" s="120" t="s">
        <v>423</v>
      </c>
      <c r="E19" s="46" t="s">
        <v>107</v>
      </c>
      <c r="F19" s="46">
        <f t="shared" si="0"/>
        <v>5.2</v>
      </c>
      <c r="G19" s="130"/>
    </row>
    <row r="20" spans="1:7" ht="27.75" customHeight="1">
      <c r="A20" s="363"/>
      <c r="B20" s="353"/>
      <c r="C20" s="120" t="s">
        <v>424</v>
      </c>
      <c r="D20" s="120" t="s">
        <v>425</v>
      </c>
      <c r="E20" s="46" t="s">
        <v>107</v>
      </c>
      <c r="F20" s="46">
        <f t="shared" si="0"/>
        <v>5.2</v>
      </c>
      <c r="G20" s="130"/>
    </row>
    <row r="21" spans="1:7" ht="27.75" customHeight="1">
      <c r="A21" s="363"/>
      <c r="B21" s="353"/>
      <c r="C21" s="120" t="s">
        <v>426</v>
      </c>
      <c r="D21" s="120" t="s">
        <v>427</v>
      </c>
      <c r="E21" s="46" t="s">
        <v>106</v>
      </c>
      <c r="F21" s="46">
        <f t="shared" si="0"/>
        <v>4</v>
      </c>
      <c r="G21" s="130"/>
    </row>
    <row r="22" spans="1:7" ht="27.75" customHeight="1">
      <c r="A22" s="363"/>
      <c r="B22" s="353"/>
      <c r="C22" s="120" t="s">
        <v>428</v>
      </c>
      <c r="D22" s="120" t="s">
        <v>429</v>
      </c>
      <c r="E22" s="46" t="s">
        <v>108</v>
      </c>
      <c r="F22" s="46">
        <f t="shared" si="0"/>
        <v>3.9</v>
      </c>
      <c r="G22" s="130"/>
    </row>
    <row r="23" spans="1:7" ht="27.75" customHeight="1">
      <c r="A23" s="363"/>
      <c r="B23" s="353"/>
      <c r="C23" s="120" t="s">
        <v>430</v>
      </c>
      <c r="D23" s="120" t="s">
        <v>431</v>
      </c>
      <c r="E23" s="46" t="s">
        <v>108</v>
      </c>
      <c r="F23" s="46">
        <f t="shared" si="0"/>
        <v>3.9</v>
      </c>
      <c r="G23" s="130"/>
    </row>
    <row r="24" spans="1:7" ht="27.75" customHeight="1">
      <c r="A24" s="363"/>
      <c r="B24" s="353"/>
      <c r="C24" s="120" t="s">
        <v>432</v>
      </c>
      <c r="D24" s="120" t="s">
        <v>433</v>
      </c>
      <c r="E24" s="46" t="s">
        <v>108</v>
      </c>
      <c r="F24" s="46">
        <f t="shared" si="0"/>
        <v>3.9</v>
      </c>
      <c r="G24" s="130"/>
    </row>
    <row r="25" spans="1:7" ht="27.75" customHeight="1">
      <c r="A25" s="363"/>
      <c r="B25" s="353"/>
      <c r="C25" s="120" t="s">
        <v>369</v>
      </c>
      <c r="D25" s="120" t="s">
        <v>434</v>
      </c>
      <c r="E25" s="46" t="s">
        <v>108</v>
      </c>
      <c r="F25" s="46">
        <f t="shared" si="0"/>
        <v>3.9</v>
      </c>
      <c r="G25" s="130"/>
    </row>
    <row r="26" spans="1:7">
      <c r="A26" t="s">
        <v>242</v>
      </c>
      <c r="F26" s="45">
        <f>SUM(F4:F24)</f>
        <v>114.30000000000004</v>
      </c>
    </row>
    <row r="27" spans="1:7">
      <c r="A27" t="s">
        <v>243</v>
      </c>
    </row>
    <row r="28" spans="1:7">
      <c r="A28" t="s">
        <v>244</v>
      </c>
    </row>
    <row r="30" spans="1:7">
      <c r="A30" t="s">
        <v>245</v>
      </c>
    </row>
    <row r="31" spans="1:7">
      <c r="A31" t="s">
        <v>246</v>
      </c>
    </row>
    <row r="32" spans="1:7">
      <c r="A32" t="s">
        <v>247</v>
      </c>
    </row>
    <row r="33" spans="1:7">
      <c r="A33" t="s">
        <v>248</v>
      </c>
    </row>
    <row r="34" spans="1:7">
      <c r="A34" t="s">
        <v>249</v>
      </c>
    </row>
    <row r="35" spans="1:7">
      <c r="A35" t="s">
        <v>250</v>
      </c>
    </row>
    <row r="36" spans="1:7">
      <c r="A36" t="s">
        <v>251</v>
      </c>
    </row>
    <row r="37" spans="1:7">
      <c r="A37" t="s">
        <v>252</v>
      </c>
    </row>
    <row r="38" spans="1:7">
      <c r="A38" t="s">
        <v>253</v>
      </c>
    </row>
    <row r="39" spans="1:7">
      <c r="A39" t="s">
        <v>254</v>
      </c>
    </row>
    <row r="40" spans="1:7">
      <c r="A40" t="s">
        <v>255</v>
      </c>
    </row>
    <row r="41" spans="1:7">
      <c r="G41" t="str">
        <f>IF(F41="","",IF(F41="EI",4,IF(F41="EO",5.2,IF(F41="EQ",3.9,IF(F41="ILF",7.5,IF(F41="EIF",5.4))))))</f>
        <v/>
      </c>
    </row>
  </sheetData>
  <mergeCells count="5">
    <mergeCell ref="A1:G1"/>
    <mergeCell ref="A2:D2"/>
    <mergeCell ref="G2:G3"/>
    <mergeCell ref="B4:B25"/>
    <mergeCell ref="A4:A25"/>
  </mergeCells>
  <phoneticPr fontId="4" type="noConversion"/>
  <pageMargins left="0.7" right="0.7" top="0.75" bottom="0.75" header="0.3" footer="0.3"/>
  <pageSetup paperSize="9"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5"/>
  <sheetViews>
    <sheetView view="pageBreakPreview" zoomScale="85" zoomScaleNormal="85" zoomScaleSheetLayoutView="85" workbookViewId="0">
      <selection activeCell="C25" sqref="C25:I25"/>
    </sheetView>
  </sheetViews>
  <sheetFormatPr defaultRowHeight="16.5"/>
  <cols>
    <col min="10" max="10" width="11.5" bestFit="1" customWidth="1"/>
    <col min="13" max="13" width="127.625" bestFit="1" customWidth="1"/>
  </cols>
  <sheetData>
    <row r="1" spans="1:11" ht="26.25">
      <c r="A1" s="324" t="s">
        <v>435</v>
      </c>
      <c r="B1" s="324"/>
      <c r="C1" s="324"/>
      <c r="D1" s="325"/>
      <c r="E1" s="325"/>
      <c r="F1" s="325"/>
      <c r="G1" s="325"/>
      <c r="H1" s="325"/>
      <c r="I1" s="325"/>
      <c r="J1" s="325"/>
      <c r="K1" s="325"/>
    </row>
    <row r="2" spans="1:11">
      <c r="A2" s="1"/>
      <c r="B2" s="1"/>
      <c r="C2" s="1"/>
      <c r="D2" s="2"/>
      <c r="E2" s="2"/>
      <c r="F2" s="2"/>
      <c r="G2" s="2"/>
      <c r="H2" s="2"/>
      <c r="I2" s="2"/>
      <c r="J2" s="2"/>
      <c r="K2" s="3" t="s">
        <v>64</v>
      </c>
    </row>
    <row r="3" spans="1:11">
      <c r="A3" s="4"/>
      <c r="B3" s="4"/>
      <c r="C3" s="4"/>
      <c r="D3" s="2"/>
      <c r="E3" s="2"/>
      <c r="F3" s="2"/>
      <c r="G3" s="2"/>
      <c r="H3" s="2"/>
      <c r="I3" s="2"/>
      <c r="J3" s="2"/>
      <c r="K3" s="2"/>
    </row>
    <row r="4" spans="1:11">
      <c r="A4" s="5" t="s">
        <v>65</v>
      </c>
      <c r="B4" s="5"/>
      <c r="C4" s="5"/>
      <c r="D4" s="6"/>
      <c r="E4" s="6"/>
      <c r="F4" s="6"/>
      <c r="G4" s="6"/>
      <c r="H4" s="6"/>
      <c r="I4" s="6"/>
      <c r="J4" s="305" t="s">
        <v>66</v>
      </c>
      <c r="K4" s="305"/>
    </row>
    <row r="5" spans="1:11">
      <c r="A5" s="326" t="s">
        <v>67</v>
      </c>
      <c r="B5" s="327"/>
      <c r="C5" s="330" t="s">
        <v>68</v>
      </c>
      <c r="D5" s="331"/>
      <c r="E5" s="334" t="s">
        <v>69</v>
      </c>
      <c r="F5" s="301"/>
      <c r="G5" s="301"/>
      <c r="H5" s="301"/>
      <c r="I5" s="327"/>
      <c r="J5" s="335" t="s">
        <v>70</v>
      </c>
      <c r="K5" s="337" t="s">
        <v>71</v>
      </c>
    </row>
    <row r="6" spans="1:11">
      <c r="A6" s="328"/>
      <c r="B6" s="329"/>
      <c r="C6" s="332"/>
      <c r="D6" s="333"/>
      <c r="E6" s="7" t="s">
        <v>72</v>
      </c>
      <c r="F6" s="8" t="s">
        <v>73</v>
      </c>
      <c r="G6" s="7" t="s">
        <v>74</v>
      </c>
      <c r="H6" s="8" t="s">
        <v>75</v>
      </c>
      <c r="I6" s="7" t="s">
        <v>76</v>
      </c>
      <c r="J6" s="336"/>
      <c r="K6" s="338"/>
    </row>
    <row r="7" spans="1:11">
      <c r="A7" s="339">
        <f>I31</f>
        <v>697.39999999999941</v>
      </c>
      <c r="B7" s="340"/>
      <c r="C7" s="341">
        <v>605784</v>
      </c>
      <c r="D7" s="342"/>
      <c r="E7" s="9">
        <f>J22</f>
        <v>1.0594408458625781</v>
      </c>
      <c r="F7" s="10">
        <f>J23</f>
        <v>1.06</v>
      </c>
      <c r="G7" s="11">
        <f>J24</f>
        <v>1</v>
      </c>
      <c r="H7" s="12">
        <f>J25</f>
        <v>1</v>
      </c>
      <c r="I7" s="10">
        <f>J26</f>
        <v>1</v>
      </c>
      <c r="J7" s="13">
        <f>PRODUCT(A7:I7)</f>
        <v>474441116.90490377</v>
      </c>
      <c r="K7" s="14"/>
    </row>
    <row r="8" spans="1:11">
      <c r="A8" s="343" t="s">
        <v>77</v>
      </c>
      <c r="B8" s="344"/>
      <c r="C8" s="344"/>
      <c r="D8" s="344"/>
      <c r="E8" s="344"/>
      <c r="F8" s="344"/>
      <c r="G8" s="344"/>
      <c r="H8" s="344"/>
      <c r="I8" s="15"/>
      <c r="J8" s="16">
        <f>SUM(J7:K7)</f>
        <v>474441116.90490377</v>
      </c>
      <c r="K8" s="17"/>
    </row>
    <row r="9" spans="1:11">
      <c r="A9" s="345" t="s">
        <v>78</v>
      </c>
      <c r="B9" s="346"/>
      <c r="C9" s="346"/>
      <c r="D9" s="346"/>
      <c r="E9" s="346"/>
      <c r="F9" s="346"/>
      <c r="G9" s="346"/>
      <c r="H9" s="346"/>
      <c r="I9" s="18">
        <v>0.19500000000000001</v>
      </c>
      <c r="J9" s="19">
        <f>J8*I9</f>
        <v>92516017.796456233</v>
      </c>
      <c r="K9" s="20"/>
    </row>
    <row r="10" spans="1:11">
      <c r="A10" s="347" t="s">
        <v>79</v>
      </c>
      <c r="B10" s="348"/>
      <c r="C10" s="348"/>
      <c r="D10" s="348"/>
      <c r="E10" s="348"/>
      <c r="F10" s="348"/>
      <c r="G10" s="348"/>
      <c r="H10" s="348"/>
      <c r="I10" s="21"/>
      <c r="J10" s="22">
        <v>-13593000</v>
      </c>
      <c r="K10" s="23"/>
    </row>
    <row r="11" spans="1:11">
      <c r="A11" s="303" t="s">
        <v>80</v>
      </c>
      <c r="B11" s="304"/>
      <c r="C11" s="304"/>
      <c r="D11" s="304"/>
      <c r="E11" s="304"/>
      <c r="F11" s="304"/>
      <c r="G11" s="304"/>
      <c r="H11" s="304"/>
      <c r="I11" s="24"/>
      <c r="J11" s="25">
        <f>J8+J9+J10</f>
        <v>553364134.70135999</v>
      </c>
      <c r="K11" s="26"/>
    </row>
    <row r="12" spans="1:11">
      <c r="A12" s="303" t="s">
        <v>81</v>
      </c>
      <c r="B12" s="304"/>
      <c r="C12" s="304"/>
      <c r="D12" s="304"/>
      <c r="E12" s="304"/>
      <c r="F12" s="304"/>
      <c r="G12" s="304"/>
      <c r="H12" s="304"/>
      <c r="I12" s="24"/>
      <c r="J12" s="25">
        <f>ROUNDDOWN(J11*1.1, -5)</f>
        <v>608700000</v>
      </c>
      <c r="K12" s="26"/>
    </row>
    <row r="13" spans="1:11">
      <c r="A13" s="27"/>
      <c r="B13" s="27"/>
      <c r="C13" s="27"/>
      <c r="D13" s="6"/>
      <c r="E13" s="6"/>
      <c r="F13" s="6"/>
      <c r="G13" s="6"/>
      <c r="H13" s="6"/>
      <c r="I13" s="6"/>
      <c r="J13" s="6"/>
      <c r="K13" s="28"/>
    </row>
    <row r="14" spans="1:11">
      <c r="A14" s="29" t="s">
        <v>82</v>
      </c>
      <c r="B14" s="5"/>
      <c r="C14" s="5"/>
      <c r="D14" s="6"/>
      <c r="E14" s="6"/>
      <c r="F14" s="6"/>
      <c r="G14" s="6"/>
      <c r="H14" s="6"/>
      <c r="I14" s="6"/>
      <c r="J14" s="305" t="s">
        <v>66</v>
      </c>
      <c r="K14" s="305"/>
    </row>
    <row r="15" spans="1:11">
      <c r="A15" s="306" t="s">
        <v>83</v>
      </c>
      <c r="B15" s="307"/>
      <c r="C15" s="308" t="s">
        <v>84</v>
      </c>
      <c r="D15" s="308"/>
      <c r="E15" s="308"/>
      <c r="F15" s="308"/>
      <c r="G15" s="308"/>
      <c r="H15" s="308"/>
      <c r="I15" s="308"/>
      <c r="J15" s="309" t="s">
        <v>85</v>
      </c>
      <c r="K15" s="310"/>
    </row>
    <row r="16" spans="1:11" ht="29.45" customHeight="1">
      <c r="A16" s="311"/>
      <c r="B16" s="312"/>
      <c r="C16" s="313"/>
      <c r="D16" s="314"/>
      <c r="E16" s="314"/>
      <c r="F16" s="314"/>
      <c r="G16" s="314"/>
      <c r="H16" s="314"/>
      <c r="I16" s="314"/>
      <c r="J16" s="315"/>
      <c r="K16" s="316"/>
    </row>
    <row r="17" spans="1:14">
      <c r="A17" s="317"/>
      <c r="B17" s="318"/>
      <c r="C17" s="319"/>
      <c r="D17" s="319"/>
      <c r="E17" s="319"/>
      <c r="F17" s="319"/>
      <c r="G17" s="319"/>
      <c r="H17" s="319"/>
      <c r="I17" s="319"/>
      <c r="J17" s="320"/>
      <c r="K17" s="321"/>
    </row>
    <row r="18" spans="1:14">
      <c r="A18" s="303" t="s">
        <v>86</v>
      </c>
      <c r="B18" s="304"/>
      <c r="C18" s="304"/>
      <c r="D18" s="304"/>
      <c r="E18" s="304"/>
      <c r="F18" s="304"/>
      <c r="G18" s="304"/>
      <c r="H18" s="304"/>
      <c r="I18" s="304"/>
      <c r="J18" s="322">
        <f>SUM(J16:K17)</f>
        <v>0</v>
      </c>
      <c r="K18" s="323"/>
    </row>
    <row r="19" spans="1:1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4">
      <c r="A20" s="5" t="s">
        <v>87</v>
      </c>
      <c r="B20" s="5"/>
      <c r="C20" s="5"/>
      <c r="D20" s="27"/>
      <c r="E20" s="27"/>
      <c r="F20" s="27"/>
      <c r="G20" s="27"/>
      <c r="H20" s="27"/>
      <c r="I20" s="27"/>
      <c r="J20" s="6"/>
      <c r="K20" s="6"/>
    </row>
    <row r="21" spans="1:14">
      <c r="A21" s="299" t="s">
        <v>88</v>
      </c>
      <c r="B21" s="300"/>
      <c r="C21" s="300" t="s">
        <v>89</v>
      </c>
      <c r="D21" s="300"/>
      <c r="E21" s="300"/>
      <c r="F21" s="300"/>
      <c r="G21" s="300"/>
      <c r="H21" s="300"/>
      <c r="I21" s="300"/>
      <c r="J21" s="301" t="s">
        <v>69</v>
      </c>
      <c r="K21" s="302"/>
    </row>
    <row r="22" spans="1:14" ht="35.25" customHeight="1">
      <c r="A22" s="288" t="s">
        <v>90</v>
      </c>
      <c r="B22" s="289"/>
      <c r="C22" s="295" t="str">
        <f>"= 0.4057 x (log e("&amp;A7&amp;") - 7.1978)^2 + 0.8878
   (단, 500FP 미만 1.28, 3,000FP 초과 1.153 적용)"</f>
        <v>= 0.4057 x (log e(697.399999999999) - 7.1978)^2 + 0.8878
   (단, 500FP 미만 1.28, 3,000FP 초과 1.153 적용)</v>
      </c>
      <c r="D22" s="296"/>
      <c r="E22" s="296"/>
      <c r="F22" s="296"/>
      <c r="G22" s="296"/>
      <c r="H22" s="296"/>
      <c r="I22" s="289"/>
      <c r="J22" s="297">
        <f>IF(A7&lt;500,1.28,IF(A7&gt;3000,1.153,0.4057*(LN(A7)-7.1978)^2+0.8878))</f>
        <v>1.0594408458625781</v>
      </c>
      <c r="K22" s="298"/>
    </row>
    <row r="23" spans="1:14">
      <c r="A23" s="288" t="s">
        <v>73</v>
      </c>
      <c r="B23" s="289"/>
      <c r="C23" s="290" t="s">
        <v>100</v>
      </c>
      <c r="D23" s="291"/>
      <c r="E23" s="291"/>
      <c r="F23" s="291"/>
      <c r="G23" s="291"/>
      <c r="H23" s="291"/>
      <c r="I23" s="292"/>
      <c r="J23" s="293">
        <f>VLOOKUP(C23,M23:N27,2,1)</f>
        <v>1.06</v>
      </c>
      <c r="K23" s="294"/>
      <c r="M23" t="s">
        <v>92</v>
      </c>
      <c r="N23">
        <v>0.88</v>
      </c>
    </row>
    <row r="24" spans="1:14">
      <c r="A24" s="288" t="s">
        <v>93</v>
      </c>
      <c r="B24" s="289"/>
      <c r="C24" s="290" t="s">
        <v>94</v>
      </c>
      <c r="D24" s="291"/>
      <c r="E24" s="291"/>
      <c r="F24" s="291"/>
      <c r="G24" s="291"/>
      <c r="H24" s="291"/>
      <c r="I24" s="292"/>
      <c r="J24" s="293">
        <f>VLOOKUP(C24,M28:N32,2,1)</f>
        <v>1</v>
      </c>
      <c r="K24" s="294"/>
      <c r="M24" t="s">
        <v>91</v>
      </c>
      <c r="N24">
        <v>0.94</v>
      </c>
    </row>
    <row r="25" spans="1:14" ht="31.5" customHeight="1">
      <c r="A25" s="288" t="s">
        <v>95</v>
      </c>
      <c r="B25" s="289"/>
      <c r="C25" s="290" t="s">
        <v>96</v>
      </c>
      <c r="D25" s="291"/>
      <c r="E25" s="291"/>
      <c r="F25" s="291"/>
      <c r="G25" s="291"/>
      <c r="H25" s="291"/>
      <c r="I25" s="292"/>
      <c r="J25" s="293">
        <f>VLOOKUP(C25,M33:N37,2,1)</f>
        <v>1</v>
      </c>
      <c r="K25" s="294"/>
      <c r="M25" t="s">
        <v>97</v>
      </c>
      <c r="N25">
        <v>1</v>
      </c>
    </row>
    <row r="26" spans="1:14">
      <c r="A26" s="272" t="s">
        <v>98</v>
      </c>
      <c r="B26" s="273"/>
      <c r="C26" s="274" t="s">
        <v>99</v>
      </c>
      <c r="D26" s="275"/>
      <c r="E26" s="275"/>
      <c r="F26" s="275"/>
      <c r="G26" s="275"/>
      <c r="H26" s="275"/>
      <c r="I26" s="276"/>
      <c r="J26" s="277">
        <f>VLOOKUP(C26,M38:N42,2,1)</f>
        <v>1</v>
      </c>
      <c r="K26" s="278"/>
      <c r="M26" t="s">
        <v>100</v>
      </c>
      <c r="N26">
        <v>1.06</v>
      </c>
    </row>
    <row r="27" spans="1:14">
      <c r="A27" s="30"/>
      <c r="B27" s="30"/>
      <c r="C27" s="30"/>
      <c r="D27" s="30"/>
      <c r="E27" s="30"/>
      <c r="F27" s="30"/>
      <c r="G27" s="30"/>
      <c r="H27" s="30"/>
      <c r="I27" s="30"/>
      <c r="J27" s="31"/>
      <c r="K27" s="31"/>
      <c r="M27" t="s">
        <v>101</v>
      </c>
      <c r="N27">
        <v>1.1200000000000001</v>
      </c>
    </row>
    <row r="28" spans="1:14">
      <c r="A28" s="32" t="s">
        <v>102</v>
      </c>
      <c r="B28" s="32"/>
      <c r="C28" s="32"/>
      <c r="D28" s="33"/>
      <c r="E28" s="33"/>
      <c r="F28" s="33"/>
      <c r="G28" s="33"/>
      <c r="H28" s="33"/>
      <c r="I28" s="33"/>
      <c r="J28" s="33"/>
      <c r="K28" s="33"/>
      <c r="M28" t="s">
        <v>103</v>
      </c>
      <c r="N28">
        <v>0.91</v>
      </c>
    </row>
    <row r="29" spans="1:14">
      <c r="A29" s="34" t="s">
        <v>83</v>
      </c>
      <c r="B29" s="35"/>
      <c r="C29" s="35"/>
      <c r="D29" s="34" t="s">
        <v>104</v>
      </c>
      <c r="E29" s="34" t="s">
        <v>105</v>
      </c>
      <c r="F29" s="34" t="s">
        <v>106</v>
      </c>
      <c r="G29" s="34" t="s">
        <v>107</v>
      </c>
      <c r="H29" s="34" t="s">
        <v>108</v>
      </c>
      <c r="I29" s="279" t="s">
        <v>109</v>
      </c>
      <c r="J29" s="280"/>
      <c r="K29" s="281"/>
      <c r="M29" t="s">
        <v>110</v>
      </c>
      <c r="N29">
        <v>0.95</v>
      </c>
    </row>
    <row r="30" spans="1:14">
      <c r="A30" s="36" t="s">
        <v>111</v>
      </c>
      <c r="B30" s="37"/>
      <c r="C30" s="37"/>
      <c r="D30" s="38">
        <f>COUNTIF('04.LLM 기반 자연어 처리 응용 기능 산정'!E4:E184,"ILF")</f>
        <v>24</v>
      </c>
      <c r="E30" s="38">
        <f>COUNTIF('04.LLM 기반 자연어 처리 응용 기능 산정'!E4:E184,"EIF")</f>
        <v>0</v>
      </c>
      <c r="F30" s="38">
        <f>COUNTIF('04.LLM 기반 자연어 처리 응용 기능 산정'!E4:E184,"EI")</f>
        <v>0</v>
      </c>
      <c r="G30" s="38">
        <f>COUNTIF('04.LLM 기반 자연어 처리 응용 기능 산정'!E4:E184,"EO")</f>
        <v>83</v>
      </c>
      <c r="H30" s="38">
        <f>COUNTIF('04.LLM 기반 자연어 처리 응용 기능 산정'!E4:E184,"EQ")</f>
        <v>22</v>
      </c>
      <c r="I30" s="282">
        <f>SUM(D30:H30)</f>
        <v>129</v>
      </c>
      <c r="J30" s="283"/>
      <c r="K30" s="284"/>
      <c r="M30" t="s">
        <v>94</v>
      </c>
      <c r="N30">
        <v>1</v>
      </c>
    </row>
    <row r="31" spans="1:14">
      <c r="A31" s="36" t="s">
        <v>112</v>
      </c>
      <c r="B31" s="37"/>
      <c r="C31" s="37"/>
      <c r="D31" s="38">
        <f>SUMIF('04.LLM 기반 자연어 처리 응용 기능 산정'!E4:E184,"ILF",'04.LLM 기반 자연어 처리 응용 기능 산정'!$F4:$F184)</f>
        <v>180</v>
      </c>
      <c r="E31" s="38">
        <f>SUMIF('04.LLM 기반 자연어 처리 응용 기능 산정'!E4:E184,"EIF",'04.LLM 기반 자연어 처리 응용 기능 산정'!$F4:$F184)</f>
        <v>0</v>
      </c>
      <c r="F31" s="38">
        <f>SUMIF('04.LLM 기반 자연어 처리 응용 기능 산정'!E4:E184,"EI",'04.LLM 기반 자연어 처리 응용 기능 산정'!$F4:$F184)</f>
        <v>0</v>
      </c>
      <c r="G31" s="38">
        <f>SUMIF('04.LLM 기반 자연어 처리 응용 기능 산정'!E4:E184,"EO",'04.LLM 기반 자연어 처리 응용 기능 산정'!$F4:$F184)</f>
        <v>431.5999999999994</v>
      </c>
      <c r="H31" s="38">
        <f>SUMIF('04.LLM 기반 자연어 처리 응용 기능 산정'!E4:E184,"EQ",'04.LLM 기반 자연어 처리 응용 기능 산정'!$F4:$F184)</f>
        <v>85.800000000000011</v>
      </c>
      <c r="I31" s="285">
        <f>SUM(D31:H31)</f>
        <v>697.39999999999941</v>
      </c>
      <c r="J31" s="286"/>
      <c r="K31" s="287"/>
      <c r="M31" t="s">
        <v>113</v>
      </c>
      <c r="N31">
        <v>1.05</v>
      </c>
    </row>
    <row r="32" spans="1:14">
      <c r="A32" s="39" t="s">
        <v>114</v>
      </c>
      <c r="B32" s="40"/>
      <c r="C32" s="40"/>
      <c r="D32" s="41">
        <f>IF($I$31&gt;0,D31/$I$31,"-")</f>
        <v>0.25810151993117314</v>
      </c>
      <c r="E32" s="41">
        <f t="shared" ref="E32:H32" si="0">IF($I$31&gt;0,E31/$I$31,"-")</f>
        <v>0</v>
      </c>
      <c r="F32" s="41">
        <f t="shared" si="0"/>
        <v>0</v>
      </c>
      <c r="G32" s="41">
        <f t="shared" si="0"/>
        <v>0.61887008890163431</v>
      </c>
      <c r="H32" s="41">
        <f t="shared" si="0"/>
        <v>0.12302839116719255</v>
      </c>
      <c r="I32" s="269">
        <f t="shared" ref="I32" si="1">SUM(D32:H32)</f>
        <v>1</v>
      </c>
      <c r="J32" s="270"/>
      <c r="K32" s="271"/>
      <c r="M32" t="s">
        <v>115</v>
      </c>
      <c r="N32">
        <v>1.0900000000000001</v>
      </c>
    </row>
    <row r="33" spans="1:14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M33" t="s">
        <v>116</v>
      </c>
      <c r="N33">
        <v>0.94</v>
      </c>
    </row>
    <row r="34" spans="1:1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M34" t="s">
        <v>96</v>
      </c>
      <c r="N34">
        <v>1</v>
      </c>
    </row>
    <row r="35" spans="1:14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M35" t="s">
        <v>117</v>
      </c>
      <c r="N35">
        <v>1.06</v>
      </c>
    </row>
    <row r="36" spans="1:14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M36" t="s">
        <v>118</v>
      </c>
      <c r="N36">
        <v>1.1299999999999999</v>
      </c>
    </row>
    <row r="37" spans="1:14">
      <c r="M37" t="s">
        <v>119</v>
      </c>
      <c r="N37">
        <v>1.19</v>
      </c>
    </row>
    <row r="38" spans="1:14">
      <c r="M38" t="s">
        <v>120</v>
      </c>
      <c r="N38">
        <v>0.97</v>
      </c>
    </row>
    <row r="39" spans="1:14">
      <c r="M39" t="s">
        <v>99</v>
      </c>
      <c r="N39">
        <v>1</v>
      </c>
    </row>
    <row r="40" spans="1:14">
      <c r="M40" t="s">
        <v>121</v>
      </c>
      <c r="N40">
        <v>1.03</v>
      </c>
    </row>
    <row r="41" spans="1:14">
      <c r="M41" t="s">
        <v>122</v>
      </c>
      <c r="N41">
        <v>1.06</v>
      </c>
    </row>
    <row r="42" spans="1:14">
      <c r="M42" t="s">
        <v>123</v>
      </c>
      <c r="N42">
        <v>1.08</v>
      </c>
    </row>
    <row r="44" spans="1:14">
      <c r="A44" t="s">
        <v>124</v>
      </c>
    </row>
    <row r="45" spans="1:14">
      <c r="A45" s="44" t="s">
        <v>125</v>
      </c>
    </row>
  </sheetData>
  <mergeCells count="48">
    <mergeCell ref="A11:H11"/>
    <mergeCell ref="A1:K1"/>
    <mergeCell ref="J4:K4"/>
    <mergeCell ref="A5:B6"/>
    <mergeCell ref="C5:D6"/>
    <mergeCell ref="E5:I5"/>
    <mergeCell ref="J5:J6"/>
    <mergeCell ref="K5:K6"/>
    <mergeCell ref="A7:B7"/>
    <mergeCell ref="C7:D7"/>
    <mergeCell ref="A8:H8"/>
    <mergeCell ref="A9:H9"/>
    <mergeCell ref="A10:H10"/>
    <mergeCell ref="A21:B21"/>
    <mergeCell ref="C21:I21"/>
    <mergeCell ref="J21:K21"/>
    <mergeCell ref="A12:H12"/>
    <mergeCell ref="J14:K14"/>
    <mergeCell ref="A15:B15"/>
    <mergeCell ref="C15:I15"/>
    <mergeCell ref="J15:K15"/>
    <mergeCell ref="A16:B16"/>
    <mergeCell ref="C16:I16"/>
    <mergeCell ref="J16:K16"/>
    <mergeCell ref="A17:B17"/>
    <mergeCell ref="C17:I17"/>
    <mergeCell ref="J17:K17"/>
    <mergeCell ref="A18:I18"/>
    <mergeCell ref="J18:K18"/>
    <mergeCell ref="A22:B22"/>
    <mergeCell ref="C22:I22"/>
    <mergeCell ref="J22:K22"/>
    <mergeCell ref="A23:B23"/>
    <mergeCell ref="C23:I23"/>
    <mergeCell ref="J23:K23"/>
    <mergeCell ref="A24:B24"/>
    <mergeCell ref="C24:I24"/>
    <mergeCell ref="J24:K24"/>
    <mergeCell ref="A25:B25"/>
    <mergeCell ref="C25:I25"/>
    <mergeCell ref="J25:K25"/>
    <mergeCell ref="I32:K32"/>
    <mergeCell ref="A26:B26"/>
    <mergeCell ref="C26:I26"/>
    <mergeCell ref="J26:K26"/>
    <mergeCell ref="I29:K29"/>
    <mergeCell ref="I30:K30"/>
    <mergeCell ref="I31:K31"/>
  </mergeCells>
  <phoneticPr fontId="4" type="noConversion"/>
  <dataValidations count="4">
    <dataValidation type="list" allowBlank="1" showInputMessage="1" showErrorMessage="1" sqref="C26:I26" xr:uid="{00000000-0002-0000-0800-000000000000}">
      <formula1>$M$38:$M$42</formula1>
    </dataValidation>
    <dataValidation type="list" allowBlank="1" showInputMessage="1" showErrorMessage="1" sqref="C25:I25" xr:uid="{00000000-0002-0000-0800-000001000000}">
      <formula1>$M$33:$M$37</formula1>
    </dataValidation>
    <dataValidation type="list" allowBlank="1" showInputMessage="1" showErrorMessage="1" sqref="C24:I24" xr:uid="{00000000-0002-0000-0800-000002000000}">
      <formula1>$M$28:$M$32</formula1>
    </dataValidation>
    <dataValidation type="list" allowBlank="1" showInputMessage="1" showErrorMessage="1" sqref="C23:I23" xr:uid="{00000000-0002-0000-0800-000003000000}">
      <formula1>$M$23:$M$27</formula1>
    </dataValidation>
  </dataValidations>
  <pageMargins left="0.7" right="0.7" top="0.75" bottom="0.75" header="0.3" footer="0.3"/>
  <pageSetup paperSize="9" scale="79" orientation="portrait" r:id="rId1"/>
  <colBreaks count="1" manualBreakCount="1">
    <brk id="11" max="4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9"/>
  <sheetViews>
    <sheetView view="pageBreakPreview" zoomScale="70" zoomScaleNormal="55" zoomScaleSheetLayoutView="70" workbookViewId="0">
      <selection activeCell="C86" sqref="C86:F86"/>
    </sheetView>
  </sheetViews>
  <sheetFormatPr defaultRowHeight="16.5"/>
  <cols>
    <col min="1" max="1" width="17.625" customWidth="1"/>
    <col min="2" max="2" width="20" bestFit="1" customWidth="1"/>
    <col min="3" max="3" width="17.875" bestFit="1" customWidth="1"/>
    <col min="4" max="4" width="43.5" bestFit="1" customWidth="1"/>
    <col min="5" max="5" width="23.5" bestFit="1" customWidth="1"/>
    <col min="6" max="7" width="11.625" customWidth="1"/>
  </cols>
  <sheetData>
    <row r="1" spans="1:7" ht="45.75" thickBot="1">
      <c r="A1" s="354" t="s">
        <v>436</v>
      </c>
      <c r="B1" s="354"/>
      <c r="C1" s="354"/>
      <c r="D1" s="354"/>
      <c r="E1" s="354"/>
      <c r="F1" s="354"/>
      <c r="G1" s="354"/>
    </row>
    <row r="2" spans="1:7" ht="57" customHeight="1">
      <c r="A2" s="355" t="s">
        <v>127</v>
      </c>
      <c r="B2" s="356"/>
      <c r="C2" s="356"/>
      <c r="D2" s="356"/>
      <c r="E2" s="127" t="s">
        <v>128</v>
      </c>
      <c r="F2" s="128" t="s">
        <v>129</v>
      </c>
      <c r="G2" s="357" t="s">
        <v>71</v>
      </c>
    </row>
    <row r="3" spans="1:7" ht="48.75" customHeight="1">
      <c r="A3" s="132" t="s">
        <v>130</v>
      </c>
      <c r="B3" s="131" t="s">
        <v>131</v>
      </c>
      <c r="C3" s="131" t="s">
        <v>132</v>
      </c>
      <c r="D3" s="131" t="s">
        <v>133</v>
      </c>
      <c r="E3" s="131" t="s">
        <v>134</v>
      </c>
      <c r="F3" s="131" t="s">
        <v>135</v>
      </c>
      <c r="G3" s="358"/>
    </row>
    <row r="4" spans="1:7" ht="27.75" customHeight="1">
      <c r="A4" s="365" t="s">
        <v>18</v>
      </c>
      <c r="B4" s="364" t="s">
        <v>437</v>
      </c>
      <c r="C4" s="120" t="s">
        <v>438</v>
      </c>
      <c r="D4" s="120" t="s">
        <v>439</v>
      </c>
      <c r="E4" s="46" t="s">
        <v>104</v>
      </c>
      <c r="F4" s="46">
        <f t="shared" ref="F4:F133" si="0">IF(E4="","",IF(E4="EI",4,IF(E4="EO",5.2,IF(E4="EQ",3.9,IF(E4="ILF",7.5,IF(E4="EIF",5.4))))))</f>
        <v>7.5</v>
      </c>
      <c r="G4" s="130"/>
    </row>
    <row r="5" spans="1:7" ht="27.75" customHeight="1">
      <c r="A5" s="366"/>
      <c r="B5" s="364"/>
      <c r="C5" s="120" t="s">
        <v>440</v>
      </c>
      <c r="D5" s="120" t="s">
        <v>441</v>
      </c>
      <c r="E5" s="46" t="s">
        <v>104</v>
      </c>
      <c r="F5" s="46">
        <f t="shared" si="0"/>
        <v>7.5</v>
      </c>
      <c r="G5" s="130"/>
    </row>
    <row r="6" spans="1:7" ht="27.75" customHeight="1">
      <c r="A6" s="366"/>
      <c r="B6" s="364"/>
      <c r="C6" s="120" t="s">
        <v>442</v>
      </c>
      <c r="D6" s="120" t="s">
        <v>443</v>
      </c>
      <c r="E6" s="46" t="s">
        <v>104</v>
      </c>
      <c r="F6" s="46">
        <f t="shared" si="0"/>
        <v>7.5</v>
      </c>
      <c r="G6" s="130"/>
    </row>
    <row r="7" spans="1:7" ht="27.75" customHeight="1">
      <c r="A7" s="366"/>
      <c r="B7" s="364"/>
      <c r="C7" s="120" t="s">
        <v>444</v>
      </c>
      <c r="D7" s="120" t="s">
        <v>445</v>
      </c>
      <c r="E7" s="46" t="s">
        <v>104</v>
      </c>
      <c r="F7" s="46">
        <f t="shared" si="0"/>
        <v>7.5</v>
      </c>
      <c r="G7" s="130"/>
    </row>
    <row r="8" spans="1:7" ht="27.75" customHeight="1">
      <c r="A8" s="366"/>
      <c r="B8" s="364"/>
      <c r="C8" s="120" t="s">
        <v>446</v>
      </c>
      <c r="D8" s="120" t="s">
        <v>447</v>
      </c>
      <c r="E8" s="46" t="s">
        <v>104</v>
      </c>
      <c r="F8" s="46">
        <f t="shared" si="0"/>
        <v>7.5</v>
      </c>
      <c r="G8" s="130"/>
    </row>
    <row r="9" spans="1:7" ht="27.75" customHeight="1">
      <c r="A9" s="366"/>
      <c r="B9" s="364"/>
      <c r="C9" s="120" t="s">
        <v>448</v>
      </c>
      <c r="D9" s="120" t="s">
        <v>449</v>
      </c>
      <c r="E9" s="46" t="s">
        <v>107</v>
      </c>
      <c r="F9" s="46">
        <f t="shared" si="0"/>
        <v>5.2</v>
      </c>
      <c r="G9" s="130"/>
    </row>
    <row r="10" spans="1:7" ht="27.75" customHeight="1">
      <c r="A10" s="366"/>
      <c r="B10" s="364"/>
      <c r="C10" s="120" t="s">
        <v>450</v>
      </c>
      <c r="D10" s="120" t="s">
        <v>451</v>
      </c>
      <c r="E10" s="46" t="s">
        <v>107</v>
      </c>
      <c r="F10" s="46">
        <f t="shared" si="0"/>
        <v>5.2</v>
      </c>
      <c r="G10" s="130"/>
    </row>
    <row r="11" spans="1:7" ht="27.75" customHeight="1">
      <c r="A11" s="366"/>
      <c r="B11" s="364"/>
      <c r="C11" s="120" t="s">
        <v>452</v>
      </c>
      <c r="D11" s="120" t="s">
        <v>453</v>
      </c>
      <c r="E11" s="46" t="s">
        <v>107</v>
      </c>
      <c r="F11" s="46">
        <f t="shared" si="0"/>
        <v>5.2</v>
      </c>
      <c r="G11" s="130"/>
    </row>
    <row r="12" spans="1:7" ht="27.75" customHeight="1">
      <c r="A12" s="366"/>
      <c r="B12" s="364"/>
      <c r="C12" s="120" t="s">
        <v>454</v>
      </c>
      <c r="D12" s="120" t="s">
        <v>455</v>
      </c>
      <c r="E12" s="46" t="s">
        <v>107</v>
      </c>
      <c r="F12" s="46">
        <f t="shared" si="0"/>
        <v>5.2</v>
      </c>
      <c r="G12" s="130"/>
    </row>
    <row r="13" spans="1:7" ht="27.75" customHeight="1">
      <c r="A13" s="366"/>
      <c r="B13" s="364"/>
      <c r="C13" s="120" t="s">
        <v>456</v>
      </c>
      <c r="D13" s="120" t="s">
        <v>457</v>
      </c>
      <c r="E13" s="46" t="s">
        <v>107</v>
      </c>
      <c r="F13" s="46">
        <f t="shared" si="0"/>
        <v>5.2</v>
      </c>
      <c r="G13" s="130"/>
    </row>
    <row r="14" spans="1:7" ht="27.75" customHeight="1">
      <c r="A14" s="366"/>
      <c r="B14" s="364"/>
      <c r="C14" s="120" t="s">
        <v>458</v>
      </c>
      <c r="D14" s="120" t="s">
        <v>459</v>
      </c>
      <c r="E14" s="46" t="s">
        <v>107</v>
      </c>
      <c r="F14" s="46">
        <f t="shared" si="0"/>
        <v>5.2</v>
      </c>
      <c r="G14" s="130"/>
    </row>
    <row r="15" spans="1:7" ht="27.75" customHeight="1">
      <c r="A15" s="366"/>
      <c r="B15" s="364"/>
      <c r="C15" s="120" t="s">
        <v>460</v>
      </c>
      <c r="D15" s="120" t="s">
        <v>461</v>
      </c>
      <c r="E15" s="46" t="s">
        <v>107</v>
      </c>
      <c r="F15" s="46">
        <f t="shared" si="0"/>
        <v>5.2</v>
      </c>
      <c r="G15" s="130"/>
    </row>
    <row r="16" spans="1:7" ht="27.75" customHeight="1">
      <c r="A16" s="366"/>
      <c r="B16" s="364"/>
      <c r="C16" s="120" t="s">
        <v>462</v>
      </c>
      <c r="D16" s="120" t="s">
        <v>463</v>
      </c>
      <c r="E16" s="46" t="s">
        <v>107</v>
      </c>
      <c r="F16" s="46">
        <f t="shared" si="0"/>
        <v>5.2</v>
      </c>
      <c r="G16" s="130"/>
    </row>
    <row r="17" spans="1:7" ht="27.75" customHeight="1">
      <c r="A17" s="366"/>
      <c r="B17" s="364"/>
      <c r="C17" s="120" t="s">
        <v>464</v>
      </c>
      <c r="D17" s="120" t="s">
        <v>465</v>
      </c>
      <c r="E17" s="46" t="s">
        <v>107</v>
      </c>
      <c r="F17" s="46">
        <f t="shared" si="0"/>
        <v>5.2</v>
      </c>
      <c r="G17" s="130"/>
    </row>
    <row r="18" spans="1:7" ht="27.75" customHeight="1">
      <c r="A18" s="366"/>
      <c r="B18" s="364"/>
      <c r="C18" s="120" t="s">
        <v>466</v>
      </c>
      <c r="D18" s="120" t="s">
        <v>467</v>
      </c>
      <c r="E18" s="46" t="s">
        <v>107</v>
      </c>
      <c r="F18" s="46">
        <f t="shared" si="0"/>
        <v>5.2</v>
      </c>
      <c r="G18" s="130"/>
    </row>
    <row r="19" spans="1:7" ht="27.75" customHeight="1">
      <c r="A19" s="366"/>
      <c r="B19" s="364"/>
      <c r="C19" s="120" t="s">
        <v>468</v>
      </c>
      <c r="D19" s="120" t="s">
        <v>469</v>
      </c>
      <c r="E19" s="46" t="s">
        <v>107</v>
      </c>
      <c r="F19" s="46">
        <f t="shared" si="0"/>
        <v>5.2</v>
      </c>
      <c r="G19" s="130"/>
    </row>
    <row r="20" spans="1:7" ht="27.75" customHeight="1">
      <c r="A20" s="366"/>
      <c r="B20" s="364"/>
      <c r="C20" s="120" t="s">
        <v>470</v>
      </c>
      <c r="D20" s="120" t="s">
        <v>471</v>
      </c>
      <c r="E20" s="46" t="s">
        <v>107</v>
      </c>
      <c r="F20" s="46">
        <f t="shared" si="0"/>
        <v>5.2</v>
      </c>
      <c r="G20" s="130"/>
    </row>
    <row r="21" spans="1:7" ht="27.75" customHeight="1">
      <c r="A21" s="366"/>
      <c r="B21" s="364"/>
      <c r="C21" s="120" t="s">
        <v>472</v>
      </c>
      <c r="D21" s="120" t="s">
        <v>473</v>
      </c>
      <c r="E21" s="46" t="s">
        <v>107</v>
      </c>
      <c r="F21" s="46">
        <f t="shared" si="0"/>
        <v>5.2</v>
      </c>
      <c r="G21" s="130"/>
    </row>
    <row r="22" spans="1:7" ht="27.75" customHeight="1">
      <c r="A22" s="366"/>
      <c r="B22" s="364"/>
      <c r="C22" s="120" t="s">
        <v>474</v>
      </c>
      <c r="D22" s="120" t="s">
        <v>475</v>
      </c>
      <c r="E22" s="46" t="s">
        <v>107</v>
      </c>
      <c r="F22" s="46">
        <f t="shared" si="0"/>
        <v>5.2</v>
      </c>
      <c r="G22" s="130"/>
    </row>
    <row r="23" spans="1:7" ht="27.75" customHeight="1">
      <c r="A23" s="366"/>
      <c r="B23" s="364"/>
      <c r="C23" s="120" t="s">
        <v>476</v>
      </c>
      <c r="D23" s="120" t="s">
        <v>477</v>
      </c>
      <c r="E23" s="46" t="s">
        <v>107</v>
      </c>
      <c r="F23" s="46">
        <f t="shared" si="0"/>
        <v>5.2</v>
      </c>
      <c r="G23" s="130"/>
    </row>
    <row r="24" spans="1:7" ht="27.75" customHeight="1">
      <c r="A24" s="366"/>
      <c r="B24" s="364"/>
      <c r="C24" s="120" t="s">
        <v>478</v>
      </c>
      <c r="D24" s="120" t="s">
        <v>479</v>
      </c>
      <c r="E24" s="46" t="s">
        <v>107</v>
      </c>
      <c r="F24" s="46">
        <f t="shared" si="0"/>
        <v>5.2</v>
      </c>
      <c r="G24" s="130"/>
    </row>
    <row r="25" spans="1:7" ht="27.75" customHeight="1">
      <c r="A25" s="366"/>
      <c r="B25" s="364"/>
      <c r="C25" s="120" t="s">
        <v>480</v>
      </c>
      <c r="D25" s="120" t="s">
        <v>481</v>
      </c>
      <c r="E25" s="46" t="s">
        <v>107</v>
      </c>
      <c r="F25" s="46">
        <f t="shared" si="0"/>
        <v>5.2</v>
      </c>
      <c r="G25" s="130"/>
    </row>
    <row r="26" spans="1:7" ht="27.75" customHeight="1">
      <c r="A26" s="366"/>
      <c r="B26" s="364"/>
      <c r="C26" s="120" t="s">
        <v>482</v>
      </c>
      <c r="D26" s="120" t="s">
        <v>483</v>
      </c>
      <c r="E26" s="46" t="s">
        <v>107</v>
      </c>
      <c r="F26" s="46">
        <f t="shared" si="0"/>
        <v>5.2</v>
      </c>
      <c r="G26" s="130"/>
    </row>
    <row r="27" spans="1:7" ht="27.75" customHeight="1">
      <c r="A27" s="366"/>
      <c r="B27" s="364"/>
      <c r="C27" s="120" t="s">
        <v>484</v>
      </c>
      <c r="D27" s="120" t="s">
        <v>485</v>
      </c>
      <c r="E27" s="46" t="s">
        <v>107</v>
      </c>
      <c r="F27" s="46">
        <f t="shared" si="0"/>
        <v>5.2</v>
      </c>
      <c r="G27" s="130"/>
    </row>
    <row r="28" spans="1:7" ht="27.75" customHeight="1">
      <c r="A28" s="366"/>
      <c r="B28" s="364"/>
      <c r="C28" s="120" t="s">
        <v>486</v>
      </c>
      <c r="D28" s="120" t="s">
        <v>487</v>
      </c>
      <c r="E28" s="46" t="s">
        <v>107</v>
      </c>
      <c r="F28" s="46">
        <f t="shared" si="0"/>
        <v>5.2</v>
      </c>
      <c r="G28" s="130"/>
    </row>
    <row r="29" spans="1:7" ht="27.75" customHeight="1">
      <c r="A29" s="366"/>
      <c r="B29" s="364"/>
      <c r="C29" s="120" t="s">
        <v>488</v>
      </c>
      <c r="D29" s="120" t="s">
        <v>489</v>
      </c>
      <c r="E29" s="46" t="s">
        <v>107</v>
      </c>
      <c r="F29" s="46">
        <f t="shared" si="0"/>
        <v>5.2</v>
      </c>
      <c r="G29" s="130"/>
    </row>
    <row r="30" spans="1:7" ht="27.75" customHeight="1">
      <c r="A30" s="366"/>
      <c r="B30" s="364"/>
      <c r="C30" s="120" t="s">
        <v>490</v>
      </c>
      <c r="D30" s="120" t="s">
        <v>491</v>
      </c>
      <c r="E30" s="46" t="s">
        <v>107</v>
      </c>
      <c r="F30" s="46">
        <f t="shared" si="0"/>
        <v>5.2</v>
      </c>
      <c r="G30" s="130"/>
    </row>
    <row r="31" spans="1:7" ht="27.75" customHeight="1">
      <c r="A31" s="366"/>
      <c r="B31" s="364"/>
      <c r="C31" s="120" t="s">
        <v>492</v>
      </c>
      <c r="D31" s="120" t="s">
        <v>493</v>
      </c>
      <c r="E31" s="46" t="s">
        <v>107</v>
      </c>
      <c r="F31" s="46">
        <f t="shared" si="0"/>
        <v>5.2</v>
      </c>
      <c r="G31" s="130"/>
    </row>
    <row r="32" spans="1:7" ht="27.75" customHeight="1">
      <c r="A32" s="366"/>
      <c r="B32" s="364"/>
      <c r="C32" s="120" t="s">
        <v>494</v>
      </c>
      <c r="D32" s="120" t="s">
        <v>495</v>
      </c>
      <c r="E32" s="46" t="s">
        <v>107</v>
      </c>
      <c r="F32" s="46">
        <f t="shared" si="0"/>
        <v>5.2</v>
      </c>
      <c r="G32" s="130"/>
    </row>
    <row r="33" spans="1:7" ht="27.75" customHeight="1">
      <c r="A33" s="366"/>
      <c r="B33" s="364"/>
      <c r="C33" s="120" t="s">
        <v>496</v>
      </c>
      <c r="D33" s="120" t="s">
        <v>497</v>
      </c>
      <c r="E33" s="46" t="s">
        <v>107</v>
      </c>
      <c r="F33" s="46">
        <f t="shared" si="0"/>
        <v>5.2</v>
      </c>
      <c r="G33" s="130"/>
    </row>
    <row r="34" spans="1:7" ht="27.75" customHeight="1">
      <c r="A34" s="366"/>
      <c r="B34" s="364"/>
      <c r="C34" s="120" t="s">
        <v>498</v>
      </c>
      <c r="D34" s="120" t="s">
        <v>499</v>
      </c>
      <c r="E34" s="46" t="s">
        <v>107</v>
      </c>
      <c r="F34" s="46">
        <f t="shared" si="0"/>
        <v>5.2</v>
      </c>
      <c r="G34" s="130"/>
    </row>
    <row r="35" spans="1:7" ht="27.75" customHeight="1">
      <c r="A35" s="366"/>
      <c r="B35" s="364"/>
      <c r="C35" s="120" t="s">
        <v>500</v>
      </c>
      <c r="D35" s="120" t="s">
        <v>501</v>
      </c>
      <c r="E35" s="46" t="s">
        <v>107</v>
      </c>
      <c r="F35" s="46">
        <f t="shared" si="0"/>
        <v>5.2</v>
      </c>
      <c r="G35" s="130"/>
    </row>
    <row r="36" spans="1:7" ht="27.75" customHeight="1">
      <c r="A36" s="366"/>
      <c r="B36" s="364"/>
      <c r="C36" s="120" t="s">
        <v>502</v>
      </c>
      <c r="D36" s="120" t="s">
        <v>503</v>
      </c>
      <c r="E36" s="46" t="s">
        <v>107</v>
      </c>
      <c r="F36" s="46">
        <f t="shared" si="0"/>
        <v>5.2</v>
      </c>
      <c r="G36" s="130"/>
    </row>
    <row r="37" spans="1:7" ht="27.75" customHeight="1">
      <c r="A37" s="366"/>
      <c r="B37" s="364"/>
      <c r="C37" s="120" t="s">
        <v>504</v>
      </c>
      <c r="D37" s="120" t="s">
        <v>505</v>
      </c>
      <c r="E37" s="46" t="s">
        <v>107</v>
      </c>
      <c r="F37" s="46">
        <f t="shared" si="0"/>
        <v>5.2</v>
      </c>
      <c r="G37" s="130"/>
    </row>
    <row r="38" spans="1:7" ht="27.75" customHeight="1">
      <c r="A38" s="366"/>
      <c r="B38" s="364"/>
      <c r="C38" s="120" t="s">
        <v>506</v>
      </c>
      <c r="D38" s="120" t="s">
        <v>507</v>
      </c>
      <c r="E38" s="46" t="s">
        <v>107</v>
      </c>
      <c r="F38" s="46">
        <f t="shared" si="0"/>
        <v>5.2</v>
      </c>
      <c r="G38" s="130"/>
    </row>
    <row r="39" spans="1:7" ht="27.75" customHeight="1">
      <c r="A39" s="366"/>
      <c r="B39" s="364"/>
      <c r="C39" s="120" t="s">
        <v>508</v>
      </c>
      <c r="D39" s="120" t="s">
        <v>509</v>
      </c>
      <c r="E39" s="46" t="s">
        <v>108</v>
      </c>
      <c r="F39" s="46">
        <f t="shared" si="0"/>
        <v>3.9</v>
      </c>
      <c r="G39" s="130"/>
    </row>
    <row r="40" spans="1:7" ht="27.75" customHeight="1">
      <c r="A40" s="366"/>
      <c r="B40" s="364"/>
      <c r="C40" s="120" t="s">
        <v>510</v>
      </c>
      <c r="D40" s="120" t="s">
        <v>511</v>
      </c>
      <c r="E40" s="46" t="s">
        <v>108</v>
      </c>
      <c r="F40" s="46">
        <f t="shared" si="0"/>
        <v>3.9</v>
      </c>
      <c r="G40" s="130"/>
    </row>
    <row r="41" spans="1:7" ht="27.75" customHeight="1">
      <c r="A41" s="366"/>
      <c r="B41" s="364"/>
      <c r="C41" s="120" t="s">
        <v>512</v>
      </c>
      <c r="D41" s="120" t="s">
        <v>513</v>
      </c>
      <c r="E41" s="46" t="s">
        <v>108</v>
      </c>
      <c r="F41" s="46">
        <f t="shared" si="0"/>
        <v>3.9</v>
      </c>
      <c r="G41" s="130"/>
    </row>
    <row r="42" spans="1:7" ht="27.75" customHeight="1">
      <c r="A42" s="366"/>
      <c r="B42" s="364" t="s">
        <v>514</v>
      </c>
      <c r="C42" s="120" t="s">
        <v>515</v>
      </c>
      <c r="D42" s="120" t="s">
        <v>516</v>
      </c>
      <c r="E42" s="46" t="s">
        <v>104</v>
      </c>
      <c r="F42" s="46">
        <f t="shared" si="0"/>
        <v>7.5</v>
      </c>
      <c r="G42" s="130"/>
    </row>
    <row r="43" spans="1:7" ht="27.75" customHeight="1">
      <c r="A43" s="366"/>
      <c r="B43" s="364"/>
      <c r="C43" s="120" t="s">
        <v>517</v>
      </c>
      <c r="D43" s="120" t="s">
        <v>518</v>
      </c>
      <c r="E43" s="46" t="s">
        <v>104</v>
      </c>
      <c r="F43" s="46">
        <f t="shared" si="0"/>
        <v>7.5</v>
      </c>
      <c r="G43" s="130"/>
    </row>
    <row r="44" spans="1:7" ht="27.75" customHeight="1">
      <c r="A44" s="366"/>
      <c r="B44" s="364"/>
      <c r="C44" s="120" t="s">
        <v>519</v>
      </c>
      <c r="D44" s="120" t="s">
        <v>520</v>
      </c>
      <c r="E44" s="46" t="s">
        <v>107</v>
      </c>
      <c r="F44" s="46">
        <f t="shared" si="0"/>
        <v>5.2</v>
      </c>
      <c r="G44" s="130"/>
    </row>
    <row r="45" spans="1:7" ht="27.75" customHeight="1">
      <c r="A45" s="366"/>
      <c r="B45" s="364"/>
      <c r="C45" s="120" t="s">
        <v>521</v>
      </c>
      <c r="D45" s="120" t="s">
        <v>522</v>
      </c>
      <c r="E45" s="46" t="s">
        <v>107</v>
      </c>
      <c r="F45" s="46">
        <f t="shared" si="0"/>
        <v>5.2</v>
      </c>
      <c r="G45" s="130"/>
    </row>
    <row r="46" spans="1:7" ht="27.75" customHeight="1">
      <c r="A46" s="366"/>
      <c r="B46" s="364"/>
      <c r="C46" s="120" t="s">
        <v>523</v>
      </c>
      <c r="D46" s="120" t="s">
        <v>524</v>
      </c>
      <c r="E46" s="46" t="s">
        <v>107</v>
      </c>
      <c r="F46" s="46">
        <f t="shared" si="0"/>
        <v>5.2</v>
      </c>
      <c r="G46" s="130"/>
    </row>
    <row r="47" spans="1:7" ht="27.75" customHeight="1">
      <c r="A47" s="366"/>
      <c r="B47" s="364"/>
      <c r="C47" s="120" t="s">
        <v>525</v>
      </c>
      <c r="D47" s="120" t="s">
        <v>526</v>
      </c>
      <c r="E47" s="46" t="s">
        <v>107</v>
      </c>
      <c r="F47" s="46">
        <f t="shared" si="0"/>
        <v>5.2</v>
      </c>
      <c r="G47" s="130"/>
    </row>
    <row r="48" spans="1:7" ht="27.75" customHeight="1">
      <c r="A48" s="366"/>
      <c r="B48" s="364"/>
      <c r="C48" s="120" t="s">
        <v>527</v>
      </c>
      <c r="D48" s="120" t="s">
        <v>528</v>
      </c>
      <c r="E48" s="46" t="s">
        <v>107</v>
      </c>
      <c r="F48" s="46">
        <f t="shared" si="0"/>
        <v>5.2</v>
      </c>
      <c r="G48" s="130"/>
    </row>
    <row r="49" spans="1:7" ht="27.75" customHeight="1">
      <c r="A49" s="366"/>
      <c r="B49" s="364"/>
      <c r="C49" s="120" t="s">
        <v>529</v>
      </c>
      <c r="D49" s="120" t="s">
        <v>530</v>
      </c>
      <c r="E49" s="46" t="s">
        <v>107</v>
      </c>
      <c r="F49" s="46">
        <f t="shared" si="0"/>
        <v>5.2</v>
      </c>
      <c r="G49" s="130"/>
    </row>
    <row r="50" spans="1:7" ht="27.75" customHeight="1">
      <c r="A50" s="366"/>
      <c r="B50" s="364"/>
      <c r="C50" s="120" t="s">
        <v>531</v>
      </c>
      <c r="D50" s="120" t="s">
        <v>532</v>
      </c>
      <c r="E50" s="46" t="s">
        <v>107</v>
      </c>
      <c r="F50" s="46">
        <f t="shared" si="0"/>
        <v>5.2</v>
      </c>
      <c r="G50" s="130"/>
    </row>
    <row r="51" spans="1:7" ht="27.75" customHeight="1">
      <c r="A51" s="366"/>
      <c r="B51" s="364"/>
      <c r="C51" s="120" t="s">
        <v>533</v>
      </c>
      <c r="D51" s="120" t="s">
        <v>534</v>
      </c>
      <c r="E51" s="46" t="s">
        <v>107</v>
      </c>
      <c r="F51" s="46">
        <f t="shared" si="0"/>
        <v>5.2</v>
      </c>
      <c r="G51" s="130"/>
    </row>
    <row r="52" spans="1:7" ht="27.75" customHeight="1">
      <c r="A52" s="366"/>
      <c r="B52" s="364"/>
      <c r="C52" s="120" t="s">
        <v>535</v>
      </c>
      <c r="D52" s="120" t="s">
        <v>536</v>
      </c>
      <c r="E52" s="46" t="s">
        <v>107</v>
      </c>
      <c r="F52" s="46">
        <f t="shared" si="0"/>
        <v>5.2</v>
      </c>
      <c r="G52" s="130"/>
    </row>
    <row r="53" spans="1:7" ht="27.75" customHeight="1">
      <c r="A53" s="366"/>
      <c r="B53" s="364"/>
      <c r="C53" s="120" t="s">
        <v>537</v>
      </c>
      <c r="D53" s="120" t="s">
        <v>538</v>
      </c>
      <c r="E53" s="46" t="s">
        <v>107</v>
      </c>
      <c r="F53" s="46">
        <f t="shared" si="0"/>
        <v>5.2</v>
      </c>
      <c r="G53" s="130"/>
    </row>
    <row r="54" spans="1:7" ht="27.75" customHeight="1">
      <c r="A54" s="366"/>
      <c r="B54" s="364"/>
      <c r="C54" s="120" t="s">
        <v>539</v>
      </c>
      <c r="D54" s="120" t="s">
        <v>540</v>
      </c>
      <c r="E54" s="46" t="s">
        <v>107</v>
      </c>
      <c r="F54" s="46">
        <f t="shared" si="0"/>
        <v>5.2</v>
      </c>
      <c r="G54" s="130"/>
    </row>
    <row r="55" spans="1:7" ht="27.75" customHeight="1">
      <c r="A55" s="366"/>
      <c r="B55" s="364"/>
      <c r="C55" s="120" t="s">
        <v>541</v>
      </c>
      <c r="D55" s="120" t="s">
        <v>542</v>
      </c>
      <c r="E55" s="46" t="s">
        <v>107</v>
      </c>
      <c r="F55" s="46">
        <f t="shared" si="0"/>
        <v>5.2</v>
      </c>
      <c r="G55" s="130"/>
    </row>
    <row r="56" spans="1:7" ht="27.75" customHeight="1">
      <c r="A56" s="366"/>
      <c r="B56" s="364"/>
      <c r="C56" s="120" t="s">
        <v>543</v>
      </c>
      <c r="D56" s="120" t="s">
        <v>544</v>
      </c>
      <c r="E56" s="46" t="s">
        <v>107</v>
      </c>
      <c r="F56" s="46">
        <f t="shared" si="0"/>
        <v>5.2</v>
      </c>
      <c r="G56" s="130"/>
    </row>
    <row r="57" spans="1:7" ht="27.75" customHeight="1">
      <c r="A57" s="366"/>
      <c r="B57" s="364"/>
      <c r="C57" s="120" t="s">
        <v>545</v>
      </c>
      <c r="D57" s="120" t="s">
        <v>546</v>
      </c>
      <c r="E57" s="46" t="s">
        <v>107</v>
      </c>
      <c r="F57" s="46">
        <f t="shared" si="0"/>
        <v>5.2</v>
      </c>
      <c r="G57" s="130"/>
    </row>
    <row r="58" spans="1:7" ht="27.75" customHeight="1">
      <c r="A58" s="366"/>
      <c r="B58" s="364"/>
      <c r="C58" s="120" t="s">
        <v>547</v>
      </c>
      <c r="D58" s="120" t="s">
        <v>548</v>
      </c>
      <c r="E58" s="46" t="s">
        <v>107</v>
      </c>
      <c r="F58" s="46">
        <f t="shared" si="0"/>
        <v>5.2</v>
      </c>
      <c r="G58" s="130"/>
    </row>
    <row r="59" spans="1:7" ht="27.75" customHeight="1">
      <c r="A59" s="366"/>
      <c r="B59" s="364"/>
      <c r="C59" s="120" t="s">
        <v>549</v>
      </c>
      <c r="D59" s="120" t="s">
        <v>550</v>
      </c>
      <c r="E59" s="46" t="s">
        <v>107</v>
      </c>
      <c r="F59" s="46">
        <f t="shared" si="0"/>
        <v>5.2</v>
      </c>
      <c r="G59" s="130"/>
    </row>
    <row r="60" spans="1:7" ht="27.75" customHeight="1">
      <c r="A60" s="366"/>
      <c r="B60" s="364"/>
      <c r="C60" s="120" t="s">
        <v>551</v>
      </c>
      <c r="D60" s="120" t="s">
        <v>552</v>
      </c>
      <c r="E60" s="46" t="s">
        <v>108</v>
      </c>
      <c r="F60" s="46">
        <f t="shared" si="0"/>
        <v>3.9</v>
      </c>
      <c r="G60" s="130"/>
    </row>
    <row r="61" spans="1:7" ht="27.75" customHeight="1">
      <c r="A61" s="366"/>
      <c r="B61" s="364"/>
      <c r="C61" s="120" t="s">
        <v>553</v>
      </c>
      <c r="D61" s="120" t="s">
        <v>554</v>
      </c>
      <c r="E61" s="46" t="s">
        <v>108</v>
      </c>
      <c r="F61" s="46">
        <f t="shared" si="0"/>
        <v>3.9</v>
      </c>
      <c r="G61" s="130"/>
    </row>
    <row r="62" spans="1:7" ht="27.75" customHeight="1">
      <c r="A62" s="366"/>
      <c r="B62" s="364"/>
      <c r="C62" s="120" t="s">
        <v>555</v>
      </c>
      <c r="D62" s="120" t="s">
        <v>556</v>
      </c>
      <c r="E62" s="46" t="s">
        <v>108</v>
      </c>
      <c r="F62" s="46">
        <f t="shared" si="0"/>
        <v>3.9</v>
      </c>
      <c r="G62" s="130"/>
    </row>
    <row r="63" spans="1:7" ht="27.75" customHeight="1">
      <c r="A63" s="366"/>
      <c r="B63" s="364" t="s">
        <v>557</v>
      </c>
      <c r="C63" s="120" t="s">
        <v>558</v>
      </c>
      <c r="D63" s="120" t="s">
        <v>559</v>
      </c>
      <c r="E63" s="46" t="s">
        <v>104</v>
      </c>
      <c r="F63" s="46">
        <f t="shared" si="0"/>
        <v>7.5</v>
      </c>
      <c r="G63" s="130"/>
    </row>
    <row r="64" spans="1:7" ht="27.75" customHeight="1">
      <c r="A64" s="366"/>
      <c r="B64" s="364"/>
      <c r="C64" s="120" t="s">
        <v>560</v>
      </c>
      <c r="D64" s="120" t="s">
        <v>561</v>
      </c>
      <c r="E64" s="46" t="s">
        <v>104</v>
      </c>
      <c r="F64" s="46">
        <f t="shared" si="0"/>
        <v>7.5</v>
      </c>
      <c r="G64" s="130"/>
    </row>
    <row r="65" spans="1:7" ht="27.75" customHeight="1">
      <c r="A65" s="366"/>
      <c r="B65" s="364"/>
      <c r="C65" s="120" t="s">
        <v>562</v>
      </c>
      <c r="D65" s="120" t="s">
        <v>563</v>
      </c>
      <c r="E65" s="46" t="s">
        <v>104</v>
      </c>
      <c r="F65" s="46">
        <f t="shared" si="0"/>
        <v>7.5</v>
      </c>
      <c r="G65" s="130"/>
    </row>
    <row r="66" spans="1:7" ht="27.75" customHeight="1">
      <c r="A66" s="366"/>
      <c r="B66" s="364"/>
      <c r="C66" s="120" t="s">
        <v>564</v>
      </c>
      <c r="D66" s="120" t="s">
        <v>565</v>
      </c>
      <c r="E66" s="46" t="s">
        <v>107</v>
      </c>
      <c r="F66" s="46">
        <f t="shared" si="0"/>
        <v>5.2</v>
      </c>
      <c r="G66" s="130"/>
    </row>
    <row r="67" spans="1:7" ht="27.75" customHeight="1">
      <c r="A67" s="366"/>
      <c r="B67" s="364"/>
      <c r="C67" s="120" t="s">
        <v>566</v>
      </c>
      <c r="D67" s="120" t="s">
        <v>567</v>
      </c>
      <c r="E67" s="46" t="s">
        <v>107</v>
      </c>
      <c r="F67" s="46">
        <f t="shared" si="0"/>
        <v>5.2</v>
      </c>
      <c r="G67" s="130"/>
    </row>
    <row r="68" spans="1:7" ht="27.75" customHeight="1">
      <c r="A68" s="366"/>
      <c r="B68" s="364"/>
      <c r="C68" s="120" t="s">
        <v>568</v>
      </c>
      <c r="D68" s="120" t="s">
        <v>569</v>
      </c>
      <c r="E68" s="46" t="s">
        <v>107</v>
      </c>
      <c r="F68" s="46">
        <f t="shared" si="0"/>
        <v>5.2</v>
      </c>
      <c r="G68" s="130"/>
    </row>
    <row r="69" spans="1:7" ht="27.75" customHeight="1">
      <c r="A69" s="366"/>
      <c r="B69" s="364"/>
      <c r="C69" s="120" t="s">
        <v>570</v>
      </c>
      <c r="D69" s="120" t="s">
        <v>571</v>
      </c>
      <c r="E69" s="46" t="s">
        <v>107</v>
      </c>
      <c r="F69" s="46">
        <f t="shared" si="0"/>
        <v>5.2</v>
      </c>
      <c r="G69" s="130"/>
    </row>
    <row r="70" spans="1:7" ht="27.75" customHeight="1">
      <c r="A70" s="366"/>
      <c r="B70" s="364"/>
      <c r="C70" s="120" t="s">
        <v>572</v>
      </c>
      <c r="D70" s="120" t="s">
        <v>573</v>
      </c>
      <c r="E70" s="46" t="s">
        <v>107</v>
      </c>
      <c r="F70" s="46">
        <f t="shared" si="0"/>
        <v>5.2</v>
      </c>
      <c r="G70" s="130"/>
    </row>
    <row r="71" spans="1:7" ht="27.75" customHeight="1">
      <c r="A71" s="366"/>
      <c r="B71" s="364"/>
      <c r="C71" s="120" t="s">
        <v>574</v>
      </c>
      <c r="D71" s="120" t="s">
        <v>575</v>
      </c>
      <c r="E71" s="46" t="s">
        <v>107</v>
      </c>
      <c r="F71" s="46">
        <f t="shared" si="0"/>
        <v>5.2</v>
      </c>
      <c r="G71" s="130"/>
    </row>
    <row r="72" spans="1:7" ht="27.75" customHeight="1">
      <c r="A72" s="366"/>
      <c r="B72" s="364"/>
      <c r="C72" s="120" t="s">
        <v>576</v>
      </c>
      <c r="D72" s="120" t="s">
        <v>577</v>
      </c>
      <c r="E72" s="46" t="s">
        <v>108</v>
      </c>
      <c r="F72" s="46">
        <f t="shared" si="0"/>
        <v>3.9</v>
      </c>
      <c r="G72" s="130"/>
    </row>
    <row r="73" spans="1:7" ht="27.75" customHeight="1">
      <c r="A73" s="366"/>
      <c r="B73" s="364"/>
      <c r="C73" s="120" t="s">
        <v>578</v>
      </c>
      <c r="D73" s="120" t="s">
        <v>579</v>
      </c>
      <c r="E73" s="46" t="s">
        <v>108</v>
      </c>
      <c r="F73" s="46">
        <f t="shared" si="0"/>
        <v>3.9</v>
      </c>
      <c r="G73" s="130"/>
    </row>
    <row r="74" spans="1:7" ht="27.75" customHeight="1">
      <c r="A74" s="366"/>
      <c r="B74" s="364" t="s">
        <v>580</v>
      </c>
      <c r="C74" s="120" t="s">
        <v>581</v>
      </c>
      <c r="D74" s="120" t="s">
        <v>582</v>
      </c>
      <c r="E74" s="46" t="s">
        <v>104</v>
      </c>
      <c r="F74" s="46">
        <f t="shared" si="0"/>
        <v>7.5</v>
      </c>
      <c r="G74" s="130"/>
    </row>
    <row r="75" spans="1:7" ht="27.75" customHeight="1">
      <c r="A75" s="366"/>
      <c r="B75" s="364"/>
      <c r="C75" s="120" t="s">
        <v>583</v>
      </c>
      <c r="D75" s="120" t="s">
        <v>584</v>
      </c>
      <c r="E75" s="46" t="s">
        <v>104</v>
      </c>
      <c r="F75" s="46">
        <f t="shared" si="0"/>
        <v>7.5</v>
      </c>
      <c r="G75" s="130"/>
    </row>
    <row r="76" spans="1:7" ht="27.75" customHeight="1">
      <c r="A76" s="366"/>
      <c r="B76" s="364"/>
      <c r="C76" s="120" t="s">
        <v>585</v>
      </c>
      <c r="D76" s="120" t="s">
        <v>586</v>
      </c>
      <c r="E76" s="46" t="s">
        <v>104</v>
      </c>
      <c r="F76" s="46">
        <f t="shared" si="0"/>
        <v>7.5</v>
      </c>
      <c r="G76" s="130"/>
    </row>
    <row r="77" spans="1:7" ht="27.75" customHeight="1">
      <c r="A77" s="366"/>
      <c r="B77" s="364"/>
      <c r="C77" s="120" t="s">
        <v>587</v>
      </c>
      <c r="D77" s="120" t="s">
        <v>588</v>
      </c>
      <c r="E77" s="46" t="s">
        <v>104</v>
      </c>
      <c r="F77" s="46">
        <f t="shared" si="0"/>
        <v>7.5</v>
      </c>
      <c r="G77" s="130"/>
    </row>
    <row r="78" spans="1:7" ht="27.75" customHeight="1">
      <c r="A78" s="366"/>
      <c r="B78" s="364"/>
      <c r="C78" s="120" t="s">
        <v>589</v>
      </c>
      <c r="D78" s="120" t="s">
        <v>590</v>
      </c>
      <c r="E78" s="46" t="s">
        <v>104</v>
      </c>
      <c r="F78" s="46">
        <f t="shared" si="0"/>
        <v>7.5</v>
      </c>
      <c r="G78" s="130"/>
    </row>
    <row r="79" spans="1:7" ht="27.75" customHeight="1">
      <c r="A79" s="366"/>
      <c r="B79" s="364"/>
      <c r="C79" s="120" t="s">
        <v>591</v>
      </c>
      <c r="D79" s="120" t="s">
        <v>592</v>
      </c>
      <c r="E79" s="46" t="s">
        <v>104</v>
      </c>
      <c r="F79" s="46">
        <f t="shared" si="0"/>
        <v>7.5</v>
      </c>
      <c r="G79" s="130"/>
    </row>
    <row r="80" spans="1:7" ht="27.75" customHeight="1">
      <c r="A80" s="366"/>
      <c r="B80" s="364"/>
      <c r="C80" s="120" t="s">
        <v>593</v>
      </c>
      <c r="D80" s="120" t="s">
        <v>594</v>
      </c>
      <c r="E80" s="46" t="s">
        <v>104</v>
      </c>
      <c r="F80" s="46">
        <f t="shared" si="0"/>
        <v>7.5</v>
      </c>
      <c r="G80" s="130"/>
    </row>
    <row r="81" spans="1:7" ht="27.75" customHeight="1">
      <c r="A81" s="366"/>
      <c r="B81" s="364"/>
      <c r="C81" s="120" t="s">
        <v>595</v>
      </c>
      <c r="D81" s="120" t="s">
        <v>596</v>
      </c>
      <c r="E81" s="46" t="s">
        <v>107</v>
      </c>
      <c r="F81" s="46">
        <f t="shared" si="0"/>
        <v>5.2</v>
      </c>
      <c r="G81" s="130"/>
    </row>
    <row r="82" spans="1:7" ht="27.75" customHeight="1">
      <c r="A82" s="366"/>
      <c r="B82" s="364"/>
      <c r="C82" s="120" t="s">
        <v>597</v>
      </c>
      <c r="D82" s="120" t="s">
        <v>598</v>
      </c>
      <c r="E82" s="46" t="s">
        <v>107</v>
      </c>
      <c r="F82" s="46">
        <f t="shared" si="0"/>
        <v>5.2</v>
      </c>
      <c r="G82" s="130"/>
    </row>
    <row r="83" spans="1:7" ht="27.75" customHeight="1">
      <c r="A83" s="366"/>
      <c r="B83" s="364"/>
      <c r="C83" s="120" t="s">
        <v>599</v>
      </c>
      <c r="D83" s="120" t="s">
        <v>600</v>
      </c>
      <c r="E83" s="46" t="s">
        <v>107</v>
      </c>
      <c r="F83" s="46">
        <f t="shared" si="0"/>
        <v>5.2</v>
      </c>
      <c r="G83" s="130"/>
    </row>
    <row r="84" spans="1:7" ht="27.75" customHeight="1">
      <c r="A84" s="366"/>
      <c r="B84" s="364"/>
      <c r="C84" s="120" t="s">
        <v>601</v>
      </c>
      <c r="D84" s="120" t="s">
        <v>602</v>
      </c>
      <c r="E84" s="46" t="s">
        <v>107</v>
      </c>
      <c r="F84" s="46">
        <f t="shared" si="0"/>
        <v>5.2</v>
      </c>
      <c r="G84" s="130"/>
    </row>
    <row r="85" spans="1:7" ht="27.75" customHeight="1">
      <c r="A85" s="366"/>
      <c r="B85" s="364"/>
      <c r="C85" s="120" t="s">
        <v>603</v>
      </c>
      <c r="D85" s="120" t="s">
        <v>604</v>
      </c>
      <c r="E85" s="46" t="s">
        <v>107</v>
      </c>
      <c r="F85" s="46">
        <f t="shared" si="0"/>
        <v>5.2</v>
      </c>
      <c r="G85" s="130"/>
    </row>
    <row r="86" spans="1:7" ht="27.75" customHeight="1">
      <c r="A86" s="366"/>
      <c r="B86" s="364"/>
      <c r="C86" s="120" t="s">
        <v>605</v>
      </c>
      <c r="D86" s="120" t="s">
        <v>606</v>
      </c>
      <c r="E86" s="46" t="s">
        <v>107</v>
      </c>
      <c r="F86" s="46">
        <f t="shared" si="0"/>
        <v>5.2</v>
      </c>
      <c r="G86" s="130"/>
    </row>
    <row r="87" spans="1:7" ht="27.75" customHeight="1">
      <c r="A87" s="366"/>
      <c r="B87" s="364"/>
      <c r="C87" s="120" t="s">
        <v>607</v>
      </c>
      <c r="D87" s="120" t="s">
        <v>608</v>
      </c>
      <c r="E87" s="46" t="s">
        <v>107</v>
      </c>
      <c r="F87" s="46">
        <f t="shared" si="0"/>
        <v>5.2</v>
      </c>
      <c r="G87" s="130"/>
    </row>
    <row r="88" spans="1:7" ht="27.75" customHeight="1">
      <c r="A88" s="366"/>
      <c r="B88" s="364"/>
      <c r="C88" s="120" t="s">
        <v>609</v>
      </c>
      <c r="D88" s="120" t="s">
        <v>610</v>
      </c>
      <c r="E88" s="46" t="s">
        <v>107</v>
      </c>
      <c r="F88" s="46">
        <f t="shared" si="0"/>
        <v>5.2</v>
      </c>
      <c r="G88" s="130"/>
    </row>
    <row r="89" spans="1:7" ht="27.75" customHeight="1">
      <c r="A89" s="366"/>
      <c r="B89" s="364"/>
      <c r="C89" s="120" t="s">
        <v>611</v>
      </c>
      <c r="D89" s="120" t="s">
        <v>612</v>
      </c>
      <c r="E89" s="46" t="s">
        <v>108</v>
      </c>
      <c r="F89" s="46">
        <f t="shared" si="0"/>
        <v>3.9</v>
      </c>
      <c r="G89" s="130"/>
    </row>
    <row r="90" spans="1:7" ht="27.75" customHeight="1">
      <c r="A90" s="366"/>
      <c r="B90" s="364"/>
      <c r="C90" s="120" t="s">
        <v>613</v>
      </c>
      <c r="D90" s="120" t="s">
        <v>614</v>
      </c>
      <c r="E90" s="46" t="s">
        <v>108</v>
      </c>
      <c r="F90" s="46">
        <f t="shared" si="0"/>
        <v>3.9</v>
      </c>
      <c r="G90" s="130"/>
    </row>
    <row r="91" spans="1:7" ht="27.75" customHeight="1">
      <c r="A91" s="366"/>
      <c r="B91" s="364"/>
      <c r="C91" s="120" t="s">
        <v>615</v>
      </c>
      <c r="D91" s="120" t="s">
        <v>616</v>
      </c>
      <c r="E91" s="46" t="s">
        <v>108</v>
      </c>
      <c r="F91" s="46">
        <f t="shared" si="0"/>
        <v>3.9</v>
      </c>
      <c r="G91" s="130"/>
    </row>
    <row r="92" spans="1:7" ht="27.75" customHeight="1">
      <c r="A92" s="366"/>
      <c r="B92" s="364"/>
      <c r="C92" s="120" t="s">
        <v>617</v>
      </c>
      <c r="D92" s="120" t="s">
        <v>618</v>
      </c>
      <c r="E92" s="46" t="s">
        <v>108</v>
      </c>
      <c r="F92" s="46">
        <f t="shared" si="0"/>
        <v>3.9</v>
      </c>
      <c r="G92" s="130"/>
    </row>
    <row r="93" spans="1:7" ht="27.75" customHeight="1">
      <c r="A93" s="366"/>
      <c r="B93" s="364" t="s">
        <v>619</v>
      </c>
      <c r="C93" s="120" t="s">
        <v>620</v>
      </c>
      <c r="D93" s="120" t="s">
        <v>621</v>
      </c>
      <c r="E93" s="46" t="s">
        <v>104</v>
      </c>
      <c r="F93" s="46">
        <f t="shared" si="0"/>
        <v>7.5</v>
      </c>
      <c r="G93" s="130"/>
    </row>
    <row r="94" spans="1:7" ht="27.75" customHeight="1">
      <c r="A94" s="366"/>
      <c r="B94" s="364"/>
      <c r="C94" s="120" t="s">
        <v>622</v>
      </c>
      <c r="D94" s="120" t="s">
        <v>623</v>
      </c>
      <c r="E94" s="46" t="s">
        <v>104</v>
      </c>
      <c r="F94" s="46">
        <f t="shared" si="0"/>
        <v>7.5</v>
      </c>
      <c r="G94" s="130"/>
    </row>
    <row r="95" spans="1:7" ht="27.75" customHeight="1">
      <c r="A95" s="366"/>
      <c r="B95" s="364"/>
      <c r="C95" s="120" t="s">
        <v>624</v>
      </c>
      <c r="D95" s="120" t="s">
        <v>625</v>
      </c>
      <c r="E95" s="46" t="s">
        <v>107</v>
      </c>
      <c r="F95" s="46">
        <f t="shared" si="0"/>
        <v>5.2</v>
      </c>
      <c r="G95" s="130"/>
    </row>
    <row r="96" spans="1:7" ht="27.75" customHeight="1">
      <c r="A96" s="366"/>
      <c r="B96" s="364"/>
      <c r="C96" s="120" t="s">
        <v>626</v>
      </c>
      <c r="D96" s="120" t="s">
        <v>627</v>
      </c>
      <c r="E96" s="46" t="s">
        <v>107</v>
      </c>
      <c r="F96" s="46">
        <f t="shared" si="0"/>
        <v>5.2</v>
      </c>
      <c r="G96" s="130"/>
    </row>
    <row r="97" spans="1:7" ht="27.75" customHeight="1">
      <c r="A97" s="366"/>
      <c r="B97" s="364"/>
      <c r="C97" s="120" t="s">
        <v>628</v>
      </c>
      <c r="D97" s="120" t="s">
        <v>629</v>
      </c>
      <c r="E97" s="46" t="s">
        <v>107</v>
      </c>
      <c r="F97" s="46">
        <f t="shared" si="0"/>
        <v>5.2</v>
      </c>
      <c r="G97" s="130"/>
    </row>
    <row r="98" spans="1:7" ht="27.75" customHeight="1">
      <c r="A98" s="366"/>
      <c r="B98" s="364"/>
      <c r="C98" s="120" t="s">
        <v>630</v>
      </c>
      <c r="D98" s="120" t="s">
        <v>631</v>
      </c>
      <c r="E98" s="46" t="s">
        <v>107</v>
      </c>
      <c r="F98" s="46">
        <f t="shared" si="0"/>
        <v>5.2</v>
      </c>
      <c r="G98" s="130"/>
    </row>
    <row r="99" spans="1:7" ht="27.75" customHeight="1">
      <c r="A99" s="366"/>
      <c r="B99" s="364"/>
      <c r="C99" s="120" t="s">
        <v>632</v>
      </c>
      <c r="D99" s="120" t="s">
        <v>633</v>
      </c>
      <c r="E99" s="46" t="s">
        <v>107</v>
      </c>
      <c r="F99" s="46">
        <f t="shared" si="0"/>
        <v>5.2</v>
      </c>
      <c r="G99" s="130"/>
    </row>
    <row r="100" spans="1:7" ht="27.6" customHeight="1">
      <c r="A100" s="366"/>
      <c r="B100" s="364"/>
      <c r="C100" s="120" t="s">
        <v>634</v>
      </c>
      <c r="D100" s="120" t="s">
        <v>635</v>
      </c>
      <c r="E100" s="46" t="s">
        <v>107</v>
      </c>
      <c r="F100" s="46">
        <f t="shared" si="0"/>
        <v>5.2</v>
      </c>
      <c r="G100" s="130"/>
    </row>
    <row r="101" spans="1:7" ht="27.75" customHeight="1">
      <c r="A101" s="366"/>
      <c r="B101" s="364"/>
      <c r="C101" s="120" t="s">
        <v>636</v>
      </c>
      <c r="D101" s="120" t="s">
        <v>637</v>
      </c>
      <c r="E101" s="46" t="s">
        <v>107</v>
      </c>
      <c r="F101" s="46">
        <f t="shared" si="0"/>
        <v>5.2</v>
      </c>
      <c r="G101" s="130"/>
    </row>
    <row r="102" spans="1:7" ht="27.75" customHeight="1">
      <c r="A102" s="366"/>
      <c r="B102" s="364"/>
      <c r="C102" s="120" t="s">
        <v>638</v>
      </c>
      <c r="D102" s="120" t="s">
        <v>639</v>
      </c>
      <c r="E102" s="46" t="s">
        <v>107</v>
      </c>
      <c r="F102" s="46">
        <f t="shared" si="0"/>
        <v>5.2</v>
      </c>
      <c r="G102" s="130"/>
    </row>
    <row r="103" spans="1:7" ht="27.75" customHeight="1">
      <c r="A103" s="366"/>
      <c r="B103" s="364"/>
      <c r="C103" s="120" t="s">
        <v>640</v>
      </c>
      <c r="D103" s="120" t="s">
        <v>641</v>
      </c>
      <c r="E103" s="46" t="s">
        <v>107</v>
      </c>
      <c r="F103" s="46">
        <f t="shared" si="0"/>
        <v>5.2</v>
      </c>
      <c r="G103" s="130"/>
    </row>
    <row r="104" spans="1:7" ht="27.75" customHeight="1">
      <c r="A104" s="366"/>
      <c r="B104" s="364"/>
      <c r="C104" s="120" t="s">
        <v>642</v>
      </c>
      <c r="D104" s="120" t="s">
        <v>643</v>
      </c>
      <c r="E104" s="46" t="s">
        <v>107</v>
      </c>
      <c r="F104" s="46">
        <f t="shared" si="0"/>
        <v>5.2</v>
      </c>
      <c r="G104" s="130"/>
    </row>
    <row r="105" spans="1:7" ht="27.75" customHeight="1">
      <c r="A105" s="366"/>
      <c r="B105" s="364"/>
      <c r="C105" s="120" t="s">
        <v>644</v>
      </c>
      <c r="D105" s="120" t="s">
        <v>645</v>
      </c>
      <c r="E105" s="46" t="s">
        <v>108</v>
      </c>
      <c r="F105" s="46">
        <f t="shared" si="0"/>
        <v>3.9</v>
      </c>
      <c r="G105" s="130"/>
    </row>
    <row r="106" spans="1:7" ht="27.75" customHeight="1">
      <c r="A106" s="366"/>
      <c r="B106" s="364"/>
      <c r="C106" s="120" t="s">
        <v>646</v>
      </c>
      <c r="D106" s="120" t="s">
        <v>647</v>
      </c>
      <c r="E106" s="46" t="s">
        <v>108</v>
      </c>
      <c r="F106" s="46">
        <f t="shared" si="0"/>
        <v>3.9</v>
      </c>
      <c r="G106" s="130"/>
    </row>
    <row r="107" spans="1:7" ht="27.75" customHeight="1">
      <c r="A107" s="366"/>
      <c r="B107" s="364"/>
      <c r="C107" s="120" t="s">
        <v>648</v>
      </c>
      <c r="D107" s="120" t="s">
        <v>649</v>
      </c>
      <c r="E107" s="46" t="s">
        <v>108</v>
      </c>
      <c r="F107" s="46">
        <f t="shared" si="0"/>
        <v>3.9</v>
      </c>
      <c r="G107" s="130"/>
    </row>
    <row r="108" spans="1:7" ht="27.75" customHeight="1">
      <c r="A108" s="366"/>
      <c r="B108" s="364" t="s">
        <v>650</v>
      </c>
      <c r="C108" s="120" t="s">
        <v>651</v>
      </c>
      <c r="D108" s="120" t="s">
        <v>652</v>
      </c>
      <c r="E108" s="46" t="s">
        <v>104</v>
      </c>
      <c r="F108" s="46">
        <f t="shared" si="0"/>
        <v>7.5</v>
      </c>
      <c r="G108" s="130"/>
    </row>
    <row r="109" spans="1:7" ht="27.75" customHeight="1">
      <c r="A109" s="366"/>
      <c r="B109" s="364"/>
      <c r="C109" s="120" t="s">
        <v>653</v>
      </c>
      <c r="D109" s="120" t="s">
        <v>654</v>
      </c>
      <c r="E109" s="46" t="s">
        <v>104</v>
      </c>
      <c r="F109" s="46">
        <f t="shared" si="0"/>
        <v>7.5</v>
      </c>
      <c r="G109" s="130"/>
    </row>
    <row r="110" spans="1:7" ht="27.75" customHeight="1">
      <c r="A110" s="366"/>
      <c r="B110" s="364"/>
      <c r="C110" s="120" t="s">
        <v>655</v>
      </c>
      <c r="D110" s="120" t="s">
        <v>656</v>
      </c>
      <c r="E110" s="46" t="s">
        <v>107</v>
      </c>
      <c r="F110" s="46">
        <f t="shared" si="0"/>
        <v>5.2</v>
      </c>
      <c r="G110" s="130"/>
    </row>
    <row r="111" spans="1:7" ht="27.75" customHeight="1">
      <c r="A111" s="366"/>
      <c r="B111" s="364"/>
      <c r="C111" s="120" t="s">
        <v>657</v>
      </c>
      <c r="D111" s="120" t="s">
        <v>658</v>
      </c>
      <c r="E111" s="46" t="s">
        <v>107</v>
      </c>
      <c r="F111" s="46">
        <f t="shared" si="0"/>
        <v>5.2</v>
      </c>
      <c r="G111" s="130"/>
    </row>
    <row r="112" spans="1:7" ht="27.75" customHeight="1">
      <c r="A112" s="366"/>
      <c r="B112" s="364"/>
      <c r="C112" s="120" t="s">
        <v>659</v>
      </c>
      <c r="D112" s="120" t="s">
        <v>660</v>
      </c>
      <c r="E112" s="46" t="s">
        <v>107</v>
      </c>
      <c r="F112" s="46">
        <f t="shared" si="0"/>
        <v>5.2</v>
      </c>
      <c r="G112" s="130"/>
    </row>
    <row r="113" spans="1:7" ht="27.75" customHeight="1">
      <c r="A113" s="366"/>
      <c r="B113" s="364"/>
      <c r="C113" s="120" t="s">
        <v>661</v>
      </c>
      <c r="D113" s="120" t="s">
        <v>662</v>
      </c>
      <c r="E113" s="46" t="s">
        <v>107</v>
      </c>
      <c r="F113" s="46">
        <f t="shared" si="0"/>
        <v>5.2</v>
      </c>
      <c r="G113" s="130"/>
    </row>
    <row r="114" spans="1:7" ht="27.75" customHeight="1">
      <c r="A114" s="366"/>
      <c r="B114" s="364"/>
      <c r="C114" s="120" t="s">
        <v>663</v>
      </c>
      <c r="D114" s="120" t="s">
        <v>664</v>
      </c>
      <c r="E114" s="46" t="s">
        <v>107</v>
      </c>
      <c r="F114" s="46">
        <f t="shared" si="0"/>
        <v>5.2</v>
      </c>
      <c r="G114" s="130"/>
    </row>
    <row r="115" spans="1:7" ht="27.75" customHeight="1">
      <c r="A115" s="366"/>
      <c r="B115" s="364"/>
      <c r="C115" s="120" t="s">
        <v>665</v>
      </c>
      <c r="D115" s="120" t="s">
        <v>666</v>
      </c>
      <c r="E115" s="46" t="s">
        <v>107</v>
      </c>
      <c r="F115" s="46">
        <f t="shared" si="0"/>
        <v>5.2</v>
      </c>
      <c r="G115" s="130"/>
    </row>
    <row r="116" spans="1:7" ht="27.75" customHeight="1">
      <c r="A116" s="366"/>
      <c r="B116" s="364"/>
      <c r="C116" s="120" t="s">
        <v>667</v>
      </c>
      <c r="D116" s="120" t="s">
        <v>668</v>
      </c>
      <c r="E116" s="46" t="s">
        <v>108</v>
      </c>
      <c r="F116" s="46">
        <f t="shared" si="0"/>
        <v>3.9</v>
      </c>
      <c r="G116" s="130"/>
    </row>
    <row r="117" spans="1:7" ht="27.75" customHeight="1">
      <c r="A117" s="366"/>
      <c r="B117" s="364"/>
      <c r="C117" s="120" t="s">
        <v>669</v>
      </c>
      <c r="D117" s="120" t="s">
        <v>670</v>
      </c>
      <c r="E117" s="46" t="s">
        <v>108</v>
      </c>
      <c r="F117" s="46">
        <f t="shared" si="0"/>
        <v>3.9</v>
      </c>
      <c r="G117" s="130"/>
    </row>
    <row r="118" spans="1:7" ht="27.75" customHeight="1">
      <c r="A118" s="366"/>
      <c r="B118" s="364"/>
      <c r="C118" s="120" t="s">
        <v>671</v>
      </c>
      <c r="D118" s="120" t="s">
        <v>672</v>
      </c>
      <c r="E118" s="46" t="s">
        <v>108</v>
      </c>
      <c r="F118" s="46">
        <f t="shared" si="0"/>
        <v>3.9</v>
      </c>
      <c r="G118" s="130"/>
    </row>
    <row r="119" spans="1:7" ht="27.75" customHeight="1">
      <c r="A119" s="366"/>
      <c r="B119" s="364" t="s">
        <v>673</v>
      </c>
      <c r="C119" s="120" t="s">
        <v>674</v>
      </c>
      <c r="D119" s="120" t="s">
        <v>675</v>
      </c>
      <c r="E119" s="46" t="s">
        <v>104</v>
      </c>
      <c r="F119" s="46">
        <f t="shared" si="0"/>
        <v>7.5</v>
      </c>
      <c r="G119" s="130"/>
    </row>
    <row r="120" spans="1:7" ht="27.75" customHeight="1">
      <c r="A120" s="366"/>
      <c r="B120" s="364"/>
      <c r="C120" s="120" t="s">
        <v>676</v>
      </c>
      <c r="D120" s="120" t="s">
        <v>677</v>
      </c>
      <c r="E120" s="46" t="s">
        <v>104</v>
      </c>
      <c r="F120" s="46">
        <f t="shared" si="0"/>
        <v>7.5</v>
      </c>
      <c r="G120" s="130"/>
    </row>
    <row r="121" spans="1:7" ht="27.75" customHeight="1">
      <c r="A121" s="366"/>
      <c r="B121" s="364"/>
      <c r="C121" s="120" t="s">
        <v>678</v>
      </c>
      <c r="D121" s="120" t="s">
        <v>679</v>
      </c>
      <c r="E121" s="46" t="s">
        <v>104</v>
      </c>
      <c r="F121" s="46">
        <f t="shared" si="0"/>
        <v>7.5</v>
      </c>
      <c r="G121" s="130"/>
    </row>
    <row r="122" spans="1:7" ht="27.75" customHeight="1">
      <c r="A122" s="366"/>
      <c r="B122" s="364"/>
      <c r="C122" s="120" t="s">
        <v>680</v>
      </c>
      <c r="D122" s="120" t="s">
        <v>681</v>
      </c>
      <c r="E122" s="46" t="s">
        <v>107</v>
      </c>
      <c r="F122" s="46">
        <f t="shared" si="0"/>
        <v>5.2</v>
      </c>
      <c r="G122" s="130"/>
    </row>
    <row r="123" spans="1:7" ht="27.75" customHeight="1">
      <c r="A123" s="366"/>
      <c r="B123" s="364"/>
      <c r="C123" s="120" t="s">
        <v>682</v>
      </c>
      <c r="D123" s="120" t="s">
        <v>683</v>
      </c>
      <c r="E123" s="46" t="s">
        <v>107</v>
      </c>
      <c r="F123" s="46">
        <f t="shared" si="0"/>
        <v>5.2</v>
      </c>
      <c r="G123" s="130"/>
    </row>
    <row r="124" spans="1:7" ht="27.75" customHeight="1">
      <c r="A124" s="366"/>
      <c r="B124" s="364"/>
      <c r="C124" s="120" t="s">
        <v>684</v>
      </c>
      <c r="D124" s="120" t="s">
        <v>685</v>
      </c>
      <c r="E124" s="46" t="s">
        <v>107</v>
      </c>
      <c r="F124" s="46">
        <f t="shared" si="0"/>
        <v>5.2</v>
      </c>
      <c r="G124" s="130"/>
    </row>
    <row r="125" spans="1:7" ht="27.75" customHeight="1">
      <c r="A125" s="366"/>
      <c r="B125" s="364"/>
      <c r="C125" s="120" t="s">
        <v>686</v>
      </c>
      <c r="D125" s="120" t="s">
        <v>687</v>
      </c>
      <c r="E125" s="46" t="s">
        <v>107</v>
      </c>
      <c r="F125" s="46">
        <f t="shared" si="0"/>
        <v>5.2</v>
      </c>
      <c r="G125" s="130"/>
    </row>
    <row r="126" spans="1:7" ht="27.75" customHeight="1">
      <c r="A126" s="366"/>
      <c r="B126" s="364"/>
      <c r="C126" s="120" t="s">
        <v>688</v>
      </c>
      <c r="D126" s="120" t="s">
        <v>689</v>
      </c>
      <c r="E126" s="46" t="s">
        <v>107</v>
      </c>
      <c r="F126" s="46">
        <f t="shared" si="0"/>
        <v>5.2</v>
      </c>
      <c r="G126" s="130"/>
    </row>
    <row r="127" spans="1:7" ht="27.75" customHeight="1">
      <c r="A127" s="366"/>
      <c r="B127" s="364"/>
      <c r="C127" s="120" t="s">
        <v>690</v>
      </c>
      <c r="D127" s="120" t="s">
        <v>691</v>
      </c>
      <c r="E127" s="46" t="s">
        <v>107</v>
      </c>
      <c r="F127" s="46">
        <f t="shared" si="0"/>
        <v>5.2</v>
      </c>
      <c r="G127" s="130"/>
    </row>
    <row r="128" spans="1:7" ht="27.75" customHeight="1">
      <c r="A128" s="366"/>
      <c r="B128" s="364"/>
      <c r="C128" s="120" t="s">
        <v>692</v>
      </c>
      <c r="D128" s="120" t="s">
        <v>693</v>
      </c>
      <c r="E128" s="46" t="s">
        <v>107</v>
      </c>
      <c r="F128" s="46">
        <f t="shared" si="0"/>
        <v>5.2</v>
      </c>
      <c r="G128" s="130"/>
    </row>
    <row r="129" spans="1:7" ht="27.75" customHeight="1">
      <c r="A129" s="366"/>
      <c r="B129" s="364"/>
      <c r="C129" s="120" t="s">
        <v>694</v>
      </c>
      <c r="D129" s="120" t="s">
        <v>695</v>
      </c>
      <c r="E129" s="46" t="s">
        <v>108</v>
      </c>
      <c r="F129" s="46">
        <f t="shared" si="0"/>
        <v>3.9</v>
      </c>
      <c r="G129" s="130"/>
    </row>
    <row r="130" spans="1:7" ht="27.75" customHeight="1">
      <c r="A130" s="366"/>
      <c r="B130" s="364"/>
      <c r="C130" s="120" t="s">
        <v>696</v>
      </c>
      <c r="D130" s="120" t="s">
        <v>697</v>
      </c>
      <c r="E130" s="46" t="s">
        <v>108</v>
      </c>
      <c r="F130" s="46">
        <f t="shared" si="0"/>
        <v>3.9</v>
      </c>
      <c r="G130" s="130"/>
    </row>
    <row r="131" spans="1:7" ht="27.75" customHeight="1">
      <c r="A131" s="366"/>
      <c r="B131" s="364"/>
      <c r="C131" s="120" t="s">
        <v>698</v>
      </c>
      <c r="D131" s="120" t="s">
        <v>699</v>
      </c>
      <c r="E131" s="46" t="s">
        <v>108</v>
      </c>
      <c r="F131" s="46">
        <f t="shared" si="0"/>
        <v>3.9</v>
      </c>
      <c r="G131" s="130"/>
    </row>
    <row r="132" spans="1:7" ht="27.75" customHeight="1">
      <c r="A132" s="367"/>
      <c r="B132" s="364"/>
      <c r="C132" s="120" t="s">
        <v>700</v>
      </c>
      <c r="D132" s="120" t="s">
        <v>701</v>
      </c>
      <c r="E132" s="46" t="s">
        <v>108</v>
      </c>
      <c r="F132" s="46">
        <f t="shared" si="0"/>
        <v>3.9</v>
      </c>
      <c r="G132" s="130"/>
    </row>
    <row r="133" spans="1:7">
      <c r="F133" t="str">
        <f t="shared" si="0"/>
        <v/>
      </c>
    </row>
    <row r="134" spans="1:7">
      <c r="A134" t="s">
        <v>242</v>
      </c>
      <c r="F134" s="45">
        <f>SUM(F4:F132)</f>
        <v>697.40000000000009</v>
      </c>
    </row>
    <row r="135" spans="1:7">
      <c r="A135" t="s">
        <v>243</v>
      </c>
    </row>
    <row r="136" spans="1:7">
      <c r="A136" t="s">
        <v>244</v>
      </c>
    </row>
    <row r="138" spans="1:7">
      <c r="A138" t="s">
        <v>245</v>
      </c>
    </row>
    <row r="139" spans="1:7">
      <c r="A139" t="s">
        <v>246</v>
      </c>
    </row>
    <row r="140" spans="1:7">
      <c r="A140" t="s">
        <v>247</v>
      </c>
    </row>
    <row r="141" spans="1:7">
      <c r="A141" t="s">
        <v>248</v>
      </c>
    </row>
    <row r="142" spans="1:7">
      <c r="A142" t="s">
        <v>249</v>
      </c>
    </row>
    <row r="143" spans="1:7">
      <c r="A143" t="s">
        <v>250</v>
      </c>
    </row>
    <row r="144" spans="1:7">
      <c r="A144" t="s">
        <v>251</v>
      </c>
    </row>
    <row r="145" spans="1:7">
      <c r="A145" t="s">
        <v>252</v>
      </c>
    </row>
    <row r="146" spans="1:7">
      <c r="A146" t="s">
        <v>253</v>
      </c>
    </row>
    <row r="147" spans="1:7">
      <c r="A147" t="s">
        <v>254</v>
      </c>
    </row>
    <row r="148" spans="1:7">
      <c r="A148" t="s">
        <v>255</v>
      </c>
    </row>
    <row r="149" spans="1:7">
      <c r="G149" t="str">
        <f>IF(F149="","",IF(F149="EI",4,IF(F149="EO",5.2,IF(F149="EQ",3.9,IF(F149="ILF",7.5,IF(F149="EIF",5.4))))))</f>
        <v/>
      </c>
    </row>
  </sheetData>
  <mergeCells count="11">
    <mergeCell ref="A1:G1"/>
    <mergeCell ref="A2:D2"/>
    <mergeCell ref="G2:G3"/>
    <mergeCell ref="B108:B118"/>
    <mergeCell ref="B119:B132"/>
    <mergeCell ref="A4:A132"/>
    <mergeCell ref="B4:B41"/>
    <mergeCell ref="B42:B62"/>
    <mergeCell ref="B63:B73"/>
    <mergeCell ref="B74:B92"/>
    <mergeCell ref="B93:B107"/>
  </mergeCells>
  <phoneticPr fontId="4" type="noConversion"/>
  <pageMargins left="0.7" right="0.7" top="0.75" bottom="0.75" header="0.3" footer="0.3"/>
  <pageSetup paperSize="9" scale="29" orientation="portrait" r:id="rId1"/>
  <rowBreaks count="1" manualBreakCount="1">
    <brk id="5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view="pageBreakPreview" topLeftCell="A6" zoomScale="85" zoomScaleNormal="85" zoomScaleSheetLayoutView="85" workbookViewId="0">
      <selection activeCell="K10" sqref="K10"/>
    </sheetView>
  </sheetViews>
  <sheetFormatPr defaultRowHeight="16.5"/>
  <cols>
    <col min="10" max="10" width="11.5" bestFit="1" customWidth="1"/>
    <col min="13" max="13" width="127.625" bestFit="1" customWidth="1"/>
  </cols>
  <sheetData>
    <row r="1" spans="1:11" ht="26.25">
      <c r="A1" s="324" t="s">
        <v>702</v>
      </c>
      <c r="B1" s="324"/>
      <c r="C1" s="324"/>
      <c r="D1" s="325"/>
      <c r="E1" s="325"/>
      <c r="F1" s="325"/>
      <c r="G1" s="325"/>
      <c r="H1" s="325"/>
      <c r="I1" s="325"/>
      <c r="J1" s="325"/>
      <c r="K1" s="325"/>
    </row>
    <row r="2" spans="1:11">
      <c r="A2" s="1"/>
      <c r="B2" s="1"/>
      <c r="C2" s="1"/>
      <c r="D2" s="2"/>
      <c r="E2" s="2"/>
      <c r="F2" s="2"/>
      <c r="G2" s="2"/>
      <c r="H2" s="2"/>
      <c r="I2" s="2"/>
      <c r="J2" s="2"/>
      <c r="K2" s="3" t="s">
        <v>64</v>
      </c>
    </row>
    <row r="3" spans="1:11">
      <c r="A3" s="4"/>
      <c r="B3" s="4"/>
      <c r="C3" s="4"/>
      <c r="D3" s="2"/>
      <c r="E3" s="2"/>
      <c r="F3" s="2"/>
      <c r="G3" s="2"/>
      <c r="H3" s="2"/>
      <c r="I3" s="2"/>
      <c r="J3" s="2"/>
      <c r="K3" s="2"/>
    </row>
    <row r="4" spans="1:11">
      <c r="A4" s="5" t="s">
        <v>65</v>
      </c>
      <c r="B4" s="5"/>
      <c r="C4" s="5"/>
      <c r="D4" s="6"/>
      <c r="E4" s="6"/>
      <c r="F4" s="6"/>
      <c r="G4" s="6"/>
      <c r="H4" s="6"/>
      <c r="I4" s="6"/>
      <c r="J4" s="305" t="s">
        <v>66</v>
      </c>
      <c r="K4" s="305"/>
    </row>
    <row r="5" spans="1:11">
      <c r="A5" s="326" t="s">
        <v>67</v>
      </c>
      <c r="B5" s="327"/>
      <c r="C5" s="330" t="s">
        <v>68</v>
      </c>
      <c r="D5" s="331"/>
      <c r="E5" s="334" t="s">
        <v>69</v>
      </c>
      <c r="F5" s="301"/>
      <c r="G5" s="301"/>
      <c r="H5" s="301"/>
      <c r="I5" s="327"/>
      <c r="J5" s="335" t="s">
        <v>70</v>
      </c>
      <c r="K5" s="337" t="s">
        <v>71</v>
      </c>
    </row>
    <row r="6" spans="1:11">
      <c r="A6" s="328"/>
      <c r="B6" s="329"/>
      <c r="C6" s="332"/>
      <c r="D6" s="333"/>
      <c r="E6" s="7" t="s">
        <v>72</v>
      </c>
      <c r="F6" s="8" t="s">
        <v>73</v>
      </c>
      <c r="G6" s="7" t="s">
        <v>74</v>
      </c>
      <c r="H6" s="8" t="s">
        <v>75</v>
      </c>
      <c r="I6" s="7" t="s">
        <v>76</v>
      </c>
      <c r="J6" s="336"/>
      <c r="K6" s="338"/>
    </row>
    <row r="7" spans="1:11">
      <c r="A7" s="339">
        <f>I31</f>
        <v>134.70000000000002</v>
      </c>
      <c r="B7" s="340"/>
      <c r="C7" s="341">
        <v>605784</v>
      </c>
      <c r="D7" s="342"/>
      <c r="E7" s="9">
        <f>J22</f>
        <v>1.28</v>
      </c>
      <c r="F7" s="10">
        <f>J23</f>
        <v>1.06</v>
      </c>
      <c r="G7" s="11">
        <f>J24</f>
        <v>1</v>
      </c>
      <c r="H7" s="12">
        <f>J25</f>
        <v>1</v>
      </c>
      <c r="I7" s="10">
        <f>J26</f>
        <v>1</v>
      </c>
      <c r="J7" s="13">
        <f>PRODUCT(A7:I7)</f>
        <v>110713665.39264002</v>
      </c>
      <c r="K7" s="14"/>
    </row>
    <row r="8" spans="1:11">
      <c r="A8" s="343" t="s">
        <v>77</v>
      </c>
      <c r="B8" s="344"/>
      <c r="C8" s="344"/>
      <c r="D8" s="344"/>
      <c r="E8" s="344"/>
      <c r="F8" s="344"/>
      <c r="G8" s="344"/>
      <c r="H8" s="344"/>
      <c r="I8" s="15"/>
      <c r="J8" s="16">
        <f>SUM(J7:K7)</f>
        <v>110713665.39264002</v>
      </c>
      <c r="K8" s="17"/>
    </row>
    <row r="9" spans="1:11">
      <c r="A9" s="345" t="s">
        <v>78</v>
      </c>
      <c r="B9" s="346"/>
      <c r="C9" s="346"/>
      <c r="D9" s="346"/>
      <c r="E9" s="346"/>
      <c r="F9" s="346"/>
      <c r="G9" s="346"/>
      <c r="H9" s="346"/>
      <c r="I9" s="18">
        <v>0.19500000000000001</v>
      </c>
      <c r="J9" s="19">
        <f>J8*I9</f>
        <v>21589164.751564804</v>
      </c>
      <c r="K9" s="20"/>
    </row>
    <row r="10" spans="1:11">
      <c r="A10" s="347" t="s">
        <v>79</v>
      </c>
      <c r="B10" s="348"/>
      <c r="C10" s="348"/>
      <c r="D10" s="348"/>
      <c r="E10" s="348"/>
      <c r="F10" s="348"/>
      <c r="G10" s="348"/>
      <c r="H10" s="348"/>
      <c r="I10" s="21"/>
      <c r="J10" s="22">
        <v>-2666000</v>
      </c>
      <c r="K10" s="23"/>
    </row>
    <row r="11" spans="1:11">
      <c r="A11" s="303" t="s">
        <v>80</v>
      </c>
      <c r="B11" s="304"/>
      <c r="C11" s="304"/>
      <c r="D11" s="304"/>
      <c r="E11" s="304"/>
      <c r="F11" s="304"/>
      <c r="G11" s="304"/>
      <c r="H11" s="304"/>
      <c r="I11" s="24"/>
      <c r="J11" s="25">
        <f>J8+J9+J10</f>
        <v>129636830.14420483</v>
      </c>
      <c r="K11" s="26"/>
    </row>
    <row r="12" spans="1:11">
      <c r="A12" s="303" t="s">
        <v>81</v>
      </c>
      <c r="B12" s="304"/>
      <c r="C12" s="304"/>
      <c r="D12" s="304"/>
      <c r="E12" s="304"/>
      <c r="F12" s="304"/>
      <c r="G12" s="304"/>
      <c r="H12" s="304"/>
      <c r="I12" s="24"/>
      <c r="J12" s="25">
        <f>ROUNDDOWN(J11*1.1, -5)</f>
        <v>142600000</v>
      </c>
      <c r="K12" s="26"/>
    </row>
    <row r="13" spans="1:11">
      <c r="A13" s="27"/>
      <c r="B13" s="27"/>
      <c r="C13" s="27"/>
      <c r="D13" s="6"/>
      <c r="E13" s="6"/>
      <c r="F13" s="6"/>
      <c r="G13" s="6"/>
      <c r="H13" s="6"/>
      <c r="I13" s="6"/>
      <c r="J13" s="6"/>
      <c r="K13" s="28"/>
    </row>
    <row r="14" spans="1:11">
      <c r="A14" s="29" t="s">
        <v>82</v>
      </c>
      <c r="B14" s="5"/>
      <c r="C14" s="5"/>
      <c r="D14" s="6"/>
      <c r="E14" s="6"/>
      <c r="F14" s="6"/>
      <c r="G14" s="6"/>
      <c r="H14" s="6"/>
      <c r="I14" s="6"/>
      <c r="J14" s="305" t="s">
        <v>66</v>
      </c>
      <c r="K14" s="305"/>
    </row>
    <row r="15" spans="1:11">
      <c r="A15" s="306" t="s">
        <v>83</v>
      </c>
      <c r="B15" s="307"/>
      <c r="C15" s="308" t="s">
        <v>84</v>
      </c>
      <c r="D15" s="308"/>
      <c r="E15" s="308"/>
      <c r="F15" s="308"/>
      <c r="G15" s="308"/>
      <c r="H15" s="308"/>
      <c r="I15" s="308"/>
      <c r="J15" s="309" t="s">
        <v>85</v>
      </c>
      <c r="K15" s="310"/>
    </row>
    <row r="16" spans="1:11" ht="29.45" customHeight="1">
      <c r="A16" s="311"/>
      <c r="B16" s="312"/>
      <c r="C16" s="313"/>
      <c r="D16" s="314"/>
      <c r="E16" s="314"/>
      <c r="F16" s="314"/>
      <c r="G16" s="314"/>
      <c r="H16" s="314"/>
      <c r="I16" s="314"/>
      <c r="J16" s="315"/>
      <c r="K16" s="316"/>
    </row>
    <row r="17" spans="1:14">
      <c r="A17" s="317"/>
      <c r="B17" s="318"/>
      <c r="C17" s="319"/>
      <c r="D17" s="319"/>
      <c r="E17" s="319"/>
      <c r="F17" s="319"/>
      <c r="G17" s="319"/>
      <c r="H17" s="319"/>
      <c r="I17" s="319"/>
      <c r="J17" s="320"/>
      <c r="K17" s="321"/>
    </row>
    <row r="18" spans="1:14">
      <c r="A18" s="303" t="s">
        <v>86</v>
      </c>
      <c r="B18" s="304"/>
      <c r="C18" s="304"/>
      <c r="D18" s="304"/>
      <c r="E18" s="304"/>
      <c r="F18" s="304"/>
      <c r="G18" s="304"/>
      <c r="H18" s="304"/>
      <c r="I18" s="304"/>
      <c r="J18" s="322">
        <f>SUM(J16:K17)</f>
        <v>0</v>
      </c>
      <c r="K18" s="323"/>
    </row>
    <row r="19" spans="1:1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4">
      <c r="A20" s="5" t="s">
        <v>87</v>
      </c>
      <c r="B20" s="5"/>
      <c r="C20" s="5"/>
      <c r="D20" s="27"/>
      <c r="E20" s="27"/>
      <c r="F20" s="27"/>
      <c r="G20" s="27"/>
      <c r="H20" s="27"/>
      <c r="I20" s="27"/>
      <c r="J20" s="6"/>
      <c r="K20" s="6"/>
    </row>
    <row r="21" spans="1:14">
      <c r="A21" s="299" t="s">
        <v>88</v>
      </c>
      <c r="B21" s="300"/>
      <c r="C21" s="300" t="s">
        <v>89</v>
      </c>
      <c r="D21" s="300"/>
      <c r="E21" s="300"/>
      <c r="F21" s="300"/>
      <c r="G21" s="300"/>
      <c r="H21" s="300"/>
      <c r="I21" s="300"/>
      <c r="J21" s="301" t="s">
        <v>69</v>
      </c>
      <c r="K21" s="302"/>
    </row>
    <row r="22" spans="1:14" ht="35.25" customHeight="1">
      <c r="A22" s="288" t="s">
        <v>90</v>
      </c>
      <c r="B22" s="289"/>
      <c r="C22" s="295" t="str">
        <f>"= 0.4057 x (log e("&amp;A7&amp;") - 7.1978)^2 + 0.8878
   (단, 500FP 미만 1.28, 3,000FP 초과 1.153 적용)"</f>
        <v>= 0.4057 x (log e(134.7) - 7.1978)^2 + 0.8878
   (단, 500FP 미만 1.28, 3,000FP 초과 1.153 적용)</v>
      </c>
      <c r="D22" s="296"/>
      <c r="E22" s="296"/>
      <c r="F22" s="296"/>
      <c r="G22" s="296"/>
      <c r="H22" s="296"/>
      <c r="I22" s="289"/>
      <c r="J22" s="297">
        <f>IF(A7&lt;500,1.28,IF(A7&gt;3000,1.153,0.4057*(LN(A7)-7.1978)^2+0.8878))</f>
        <v>1.28</v>
      </c>
      <c r="K22" s="298"/>
    </row>
    <row r="23" spans="1:14">
      <c r="A23" s="288" t="s">
        <v>73</v>
      </c>
      <c r="B23" s="289"/>
      <c r="C23" s="290" t="s">
        <v>100</v>
      </c>
      <c r="D23" s="291"/>
      <c r="E23" s="291"/>
      <c r="F23" s="291"/>
      <c r="G23" s="291"/>
      <c r="H23" s="291"/>
      <c r="I23" s="292"/>
      <c r="J23" s="293">
        <f>VLOOKUP(C23,M23:N27,2,1)</f>
        <v>1.06</v>
      </c>
      <c r="K23" s="294"/>
      <c r="M23" t="s">
        <v>92</v>
      </c>
      <c r="N23">
        <v>0.88</v>
      </c>
    </row>
    <row r="24" spans="1:14">
      <c r="A24" s="288" t="s">
        <v>93</v>
      </c>
      <c r="B24" s="289"/>
      <c r="C24" s="290" t="s">
        <v>94</v>
      </c>
      <c r="D24" s="291"/>
      <c r="E24" s="291"/>
      <c r="F24" s="291"/>
      <c r="G24" s="291"/>
      <c r="H24" s="291"/>
      <c r="I24" s="292"/>
      <c r="J24" s="293">
        <f>VLOOKUP(C24,M28:N32,2,1)</f>
        <v>1</v>
      </c>
      <c r="K24" s="294"/>
      <c r="M24" t="s">
        <v>91</v>
      </c>
      <c r="N24">
        <v>0.94</v>
      </c>
    </row>
    <row r="25" spans="1:14" ht="31.5" customHeight="1">
      <c r="A25" s="288" t="s">
        <v>95</v>
      </c>
      <c r="B25" s="289"/>
      <c r="C25" s="290" t="s">
        <v>96</v>
      </c>
      <c r="D25" s="291"/>
      <c r="E25" s="291"/>
      <c r="F25" s="291"/>
      <c r="G25" s="291"/>
      <c r="H25" s="291"/>
      <c r="I25" s="292"/>
      <c r="J25" s="293">
        <f>VLOOKUP(C25,M33:N37,2,1)</f>
        <v>1</v>
      </c>
      <c r="K25" s="294"/>
      <c r="M25" t="s">
        <v>97</v>
      </c>
      <c r="N25">
        <v>1</v>
      </c>
    </row>
    <row r="26" spans="1:14">
      <c r="A26" s="272" t="s">
        <v>98</v>
      </c>
      <c r="B26" s="273"/>
      <c r="C26" s="274" t="s">
        <v>99</v>
      </c>
      <c r="D26" s="275"/>
      <c r="E26" s="275"/>
      <c r="F26" s="275"/>
      <c r="G26" s="275"/>
      <c r="H26" s="275"/>
      <c r="I26" s="276"/>
      <c r="J26" s="277">
        <f>VLOOKUP(C26,M38:N42,2,1)</f>
        <v>1</v>
      </c>
      <c r="K26" s="278"/>
      <c r="M26" t="s">
        <v>100</v>
      </c>
      <c r="N26">
        <v>1.06</v>
      </c>
    </row>
    <row r="27" spans="1:14">
      <c r="A27" s="30"/>
      <c r="B27" s="30"/>
      <c r="C27" s="30"/>
      <c r="D27" s="30"/>
      <c r="E27" s="30"/>
      <c r="F27" s="30"/>
      <c r="G27" s="30"/>
      <c r="H27" s="30"/>
      <c r="I27" s="30"/>
      <c r="J27" s="31"/>
      <c r="K27" s="31"/>
      <c r="M27" t="s">
        <v>101</v>
      </c>
      <c r="N27">
        <v>1.1200000000000001</v>
      </c>
    </row>
    <row r="28" spans="1:14">
      <c r="A28" s="32" t="s">
        <v>102</v>
      </c>
      <c r="B28" s="32"/>
      <c r="C28" s="32"/>
      <c r="D28" s="33"/>
      <c r="E28" s="33"/>
      <c r="F28" s="33"/>
      <c r="G28" s="33"/>
      <c r="H28" s="33"/>
      <c r="I28" s="33"/>
      <c r="J28" s="33"/>
      <c r="K28" s="33"/>
      <c r="M28" t="s">
        <v>103</v>
      </c>
      <c r="N28">
        <v>0.91</v>
      </c>
    </row>
    <row r="29" spans="1:14">
      <c r="A29" s="34" t="s">
        <v>83</v>
      </c>
      <c r="B29" s="35"/>
      <c r="C29" s="35"/>
      <c r="D29" s="34" t="s">
        <v>104</v>
      </c>
      <c r="E29" s="34" t="s">
        <v>105</v>
      </c>
      <c r="F29" s="34" t="s">
        <v>106</v>
      </c>
      <c r="G29" s="34" t="s">
        <v>107</v>
      </c>
      <c r="H29" s="34" t="s">
        <v>108</v>
      </c>
      <c r="I29" s="279" t="s">
        <v>109</v>
      </c>
      <c r="J29" s="280"/>
      <c r="K29" s="281"/>
      <c r="M29" t="s">
        <v>110</v>
      </c>
      <c r="N29">
        <v>0.95</v>
      </c>
    </row>
    <row r="30" spans="1:14">
      <c r="A30" s="36" t="s">
        <v>111</v>
      </c>
      <c r="B30" s="37"/>
      <c r="C30" s="37"/>
      <c r="D30" s="38">
        <f>COUNTIF('05.AI Assistant 기능 FP산정'!E4:E82,"ILF")</f>
        <v>4</v>
      </c>
      <c r="E30" s="38">
        <f>COUNTIF('05.AI Assistant 기능 FP산정'!E4:E82,"EIF")</f>
        <v>0</v>
      </c>
      <c r="F30" s="38">
        <f>COUNTIF('05.AI Assistant 기능 FP산정'!E4:E82,"EI")</f>
        <v>7</v>
      </c>
      <c r="G30" s="38">
        <f>COUNTIF('05.AI Assistant 기능 FP산정'!E4:E82,"EO")</f>
        <v>11</v>
      </c>
      <c r="H30" s="38">
        <f>COUNTIF('05.AI Assistant 기능 FP산정'!E4:E82,"EQ")</f>
        <v>5</v>
      </c>
      <c r="I30" s="282">
        <f>SUM(D30:H30)</f>
        <v>27</v>
      </c>
      <c r="J30" s="283"/>
      <c r="K30" s="284"/>
      <c r="M30" t="s">
        <v>94</v>
      </c>
      <c r="N30">
        <v>1</v>
      </c>
    </row>
    <row r="31" spans="1:14">
      <c r="A31" s="36" t="s">
        <v>112</v>
      </c>
      <c r="B31" s="37"/>
      <c r="C31" s="37"/>
      <c r="D31" s="38">
        <f>SUMIF('05.AI Assistant 기능 FP산정'!E4:E82,"ILF",'05.AI Assistant 기능 FP산정'!$F4:$F82)</f>
        <v>30</v>
      </c>
      <c r="E31" s="38">
        <f>SUMIF('05.AI Assistant 기능 FP산정'!E4:E82,"EIF",'05.AI Assistant 기능 FP산정'!$F4:$F82)</f>
        <v>0</v>
      </c>
      <c r="F31" s="38">
        <f>SUMIF('05.AI Assistant 기능 FP산정'!E4:E82,"EI",'05.AI Assistant 기능 FP산정'!$F4:$F82)</f>
        <v>28</v>
      </c>
      <c r="G31" s="38">
        <f>SUMIF('05.AI Assistant 기능 FP산정'!E4:E82,"EO",'05.AI Assistant 기능 FP산정'!$F4:$F82)</f>
        <v>57.20000000000001</v>
      </c>
      <c r="H31" s="38">
        <f>SUMIF('05.AI Assistant 기능 FP산정'!E4:E82,"EQ",'05.AI Assistant 기능 FP산정'!$F4:$F82)</f>
        <v>19.5</v>
      </c>
      <c r="I31" s="285">
        <f>SUM(D31:H31)</f>
        <v>134.70000000000002</v>
      </c>
      <c r="J31" s="286"/>
      <c r="K31" s="287"/>
      <c r="M31" t="s">
        <v>113</v>
      </c>
      <c r="N31">
        <v>1.05</v>
      </c>
    </row>
    <row r="32" spans="1:14">
      <c r="A32" s="39" t="s">
        <v>114</v>
      </c>
      <c r="B32" s="40"/>
      <c r="C32" s="40"/>
      <c r="D32" s="41">
        <f>IF($I$31&gt;0,D31/$I$31,"-")</f>
        <v>0.22271714922048996</v>
      </c>
      <c r="E32" s="41">
        <f t="shared" ref="E32:H32" si="0">IF($I$31&gt;0,E31/$I$31,"-")</f>
        <v>0</v>
      </c>
      <c r="F32" s="41">
        <f t="shared" si="0"/>
        <v>0.20786933927245729</v>
      </c>
      <c r="G32" s="41">
        <f t="shared" si="0"/>
        <v>0.42464736451373425</v>
      </c>
      <c r="H32" s="41">
        <f t="shared" si="0"/>
        <v>0.14476614699331847</v>
      </c>
      <c r="I32" s="269">
        <f t="shared" ref="I32" si="1">SUM(D32:H32)</f>
        <v>0.99999999999999989</v>
      </c>
      <c r="J32" s="270"/>
      <c r="K32" s="271"/>
      <c r="M32" t="s">
        <v>115</v>
      </c>
      <c r="N32">
        <v>1.0900000000000001</v>
      </c>
    </row>
    <row r="33" spans="1:14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M33" t="s">
        <v>116</v>
      </c>
      <c r="N33">
        <v>0.94</v>
      </c>
    </row>
    <row r="34" spans="1:1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M34" t="s">
        <v>96</v>
      </c>
      <c r="N34">
        <v>1</v>
      </c>
    </row>
    <row r="35" spans="1:14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M35" t="s">
        <v>117</v>
      </c>
      <c r="N35">
        <v>1.06</v>
      </c>
    </row>
    <row r="36" spans="1:14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M36" t="s">
        <v>118</v>
      </c>
      <c r="N36">
        <v>1.1299999999999999</v>
      </c>
    </row>
    <row r="37" spans="1:14">
      <c r="M37" t="s">
        <v>119</v>
      </c>
      <c r="N37">
        <v>1.19</v>
      </c>
    </row>
    <row r="38" spans="1:14">
      <c r="M38" t="s">
        <v>120</v>
      </c>
      <c r="N38">
        <v>0.97</v>
      </c>
    </row>
    <row r="39" spans="1:14">
      <c r="M39" t="s">
        <v>99</v>
      </c>
      <c r="N39">
        <v>1</v>
      </c>
    </row>
    <row r="40" spans="1:14">
      <c r="M40" t="s">
        <v>121</v>
      </c>
      <c r="N40">
        <v>1.03</v>
      </c>
    </row>
    <row r="41" spans="1:14">
      <c r="M41" t="s">
        <v>122</v>
      </c>
      <c r="N41">
        <v>1.06</v>
      </c>
    </row>
    <row r="42" spans="1:14">
      <c r="M42" t="s">
        <v>123</v>
      </c>
      <c r="N42">
        <v>1.08</v>
      </c>
    </row>
    <row r="44" spans="1:14">
      <c r="A44" t="s">
        <v>124</v>
      </c>
    </row>
    <row r="45" spans="1:14">
      <c r="A45" s="44" t="s">
        <v>125</v>
      </c>
    </row>
  </sheetData>
  <mergeCells count="48">
    <mergeCell ref="A11:H11"/>
    <mergeCell ref="A1:K1"/>
    <mergeCell ref="J4:K4"/>
    <mergeCell ref="A5:B6"/>
    <mergeCell ref="C5:D6"/>
    <mergeCell ref="E5:I5"/>
    <mergeCell ref="J5:J6"/>
    <mergeCell ref="K5:K6"/>
    <mergeCell ref="A7:B7"/>
    <mergeCell ref="C7:D7"/>
    <mergeCell ref="A8:H8"/>
    <mergeCell ref="A9:H9"/>
    <mergeCell ref="A10:H10"/>
    <mergeCell ref="A21:B21"/>
    <mergeCell ref="C21:I21"/>
    <mergeCell ref="J21:K21"/>
    <mergeCell ref="A12:H12"/>
    <mergeCell ref="J14:K14"/>
    <mergeCell ref="A15:B15"/>
    <mergeCell ref="C15:I15"/>
    <mergeCell ref="J15:K15"/>
    <mergeCell ref="A16:B16"/>
    <mergeCell ref="C16:I16"/>
    <mergeCell ref="J16:K16"/>
    <mergeCell ref="A17:B17"/>
    <mergeCell ref="C17:I17"/>
    <mergeCell ref="J17:K17"/>
    <mergeCell ref="A18:I18"/>
    <mergeCell ref="J18:K18"/>
    <mergeCell ref="A22:B22"/>
    <mergeCell ref="C22:I22"/>
    <mergeCell ref="J22:K22"/>
    <mergeCell ref="A23:B23"/>
    <mergeCell ref="C23:I23"/>
    <mergeCell ref="J23:K23"/>
    <mergeCell ref="A24:B24"/>
    <mergeCell ref="C24:I24"/>
    <mergeCell ref="J24:K24"/>
    <mergeCell ref="A25:B25"/>
    <mergeCell ref="C25:I25"/>
    <mergeCell ref="J25:K25"/>
    <mergeCell ref="I32:K32"/>
    <mergeCell ref="A26:B26"/>
    <mergeCell ref="C26:I26"/>
    <mergeCell ref="J26:K26"/>
    <mergeCell ref="I29:K29"/>
    <mergeCell ref="I30:K30"/>
    <mergeCell ref="I31:K31"/>
  </mergeCells>
  <phoneticPr fontId="4" type="noConversion"/>
  <dataValidations count="4">
    <dataValidation type="list" allowBlank="1" showInputMessage="1" showErrorMessage="1" sqref="C23:I23" xr:uid="{00000000-0002-0000-0A00-000000000000}">
      <formula1>$M$23:$M$27</formula1>
    </dataValidation>
    <dataValidation type="list" allowBlank="1" showInputMessage="1" showErrorMessage="1" sqref="C24:I24" xr:uid="{00000000-0002-0000-0A00-000001000000}">
      <formula1>$M$28:$M$32</formula1>
    </dataValidation>
    <dataValidation type="list" allowBlank="1" showInputMessage="1" showErrorMessage="1" sqref="C25:I25" xr:uid="{00000000-0002-0000-0A00-000002000000}">
      <formula1>$M$33:$M$37</formula1>
    </dataValidation>
    <dataValidation type="list" allowBlank="1" showInputMessage="1" showErrorMessage="1" sqref="C26:I26" xr:uid="{00000000-0002-0000-0A00-000003000000}">
      <formula1>$M$38:$M$42</formula1>
    </dataValidation>
  </dataValidations>
  <pageMargins left="0.7" right="0.7" top="0.75" bottom="0.75" header="0.3" footer="0.3"/>
  <pageSetup paperSize="9" scale="79" orientation="portrait" r:id="rId1"/>
  <colBreaks count="1" manualBreakCount="1">
    <brk id="11" max="40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7"/>
  <sheetViews>
    <sheetView view="pageBreakPreview" topLeftCell="A12" zoomScale="70" zoomScaleNormal="55" zoomScaleSheetLayoutView="70" workbookViewId="0">
      <selection activeCell="D18" sqref="D18"/>
    </sheetView>
  </sheetViews>
  <sheetFormatPr defaultRowHeight="16.5"/>
  <cols>
    <col min="1" max="1" width="17.625" customWidth="1"/>
    <col min="2" max="2" width="20" bestFit="1" customWidth="1"/>
    <col min="3" max="3" width="17.875" bestFit="1" customWidth="1"/>
    <col min="4" max="4" width="43.5" bestFit="1" customWidth="1"/>
    <col min="5" max="5" width="23.5" bestFit="1" customWidth="1"/>
    <col min="6" max="7" width="11.625" customWidth="1"/>
  </cols>
  <sheetData>
    <row r="1" spans="1:7" ht="45.75" thickBot="1">
      <c r="A1" s="354" t="s">
        <v>703</v>
      </c>
      <c r="B1" s="354"/>
      <c r="C1" s="354"/>
      <c r="D1" s="354"/>
      <c r="E1" s="354"/>
      <c r="F1" s="354"/>
      <c r="G1" s="354"/>
    </row>
    <row r="2" spans="1:7" ht="57" customHeight="1">
      <c r="A2" s="355" t="s">
        <v>127</v>
      </c>
      <c r="B2" s="356"/>
      <c r="C2" s="356"/>
      <c r="D2" s="356"/>
      <c r="E2" s="127" t="s">
        <v>128</v>
      </c>
      <c r="F2" s="128" t="s">
        <v>129</v>
      </c>
      <c r="G2" s="357" t="s">
        <v>71</v>
      </c>
    </row>
    <row r="3" spans="1:7" ht="48.75" customHeight="1">
      <c r="A3" s="132" t="s">
        <v>130</v>
      </c>
      <c r="B3" s="131" t="s">
        <v>131</v>
      </c>
      <c r="C3" s="131" t="s">
        <v>132</v>
      </c>
      <c r="D3" s="131" t="s">
        <v>133</v>
      </c>
      <c r="E3" s="131" t="s">
        <v>134</v>
      </c>
      <c r="F3" s="131" t="s">
        <v>135</v>
      </c>
      <c r="G3" s="358"/>
    </row>
    <row r="4" spans="1:7" ht="27.75" customHeight="1">
      <c r="A4" s="368" t="s">
        <v>18</v>
      </c>
      <c r="B4" s="142" t="s">
        <v>704</v>
      </c>
      <c r="C4" s="120" t="s">
        <v>705</v>
      </c>
      <c r="D4" s="120" t="s">
        <v>706</v>
      </c>
      <c r="E4" s="46" t="s">
        <v>104</v>
      </c>
      <c r="F4" s="46">
        <f t="shared" ref="F4:F30" si="0">IF(E4="","",IF(E4="EI",4,IF(E4="EO",5.2,IF(E4="EQ",3.9,IF(E4="ILF",7.5,IF(E4="EIF",5.4))))))</f>
        <v>7.5</v>
      </c>
      <c r="G4" s="130"/>
    </row>
    <row r="5" spans="1:7" ht="27.75" customHeight="1">
      <c r="A5" s="369"/>
      <c r="B5" s="142" t="s">
        <v>704</v>
      </c>
      <c r="C5" s="120" t="s">
        <v>707</v>
      </c>
      <c r="D5" s="120" t="s">
        <v>708</v>
      </c>
      <c r="E5" s="46" t="s">
        <v>106</v>
      </c>
      <c r="F5" s="46">
        <f t="shared" si="0"/>
        <v>4</v>
      </c>
      <c r="G5" s="130"/>
    </row>
    <row r="6" spans="1:7" ht="27.75" customHeight="1">
      <c r="A6" s="369"/>
      <c r="B6" s="142" t="s">
        <v>704</v>
      </c>
      <c r="C6" s="120" t="s">
        <v>709</v>
      </c>
      <c r="D6" s="120" t="s">
        <v>710</v>
      </c>
      <c r="E6" s="46" t="s">
        <v>107</v>
      </c>
      <c r="F6" s="46">
        <f t="shared" si="0"/>
        <v>5.2</v>
      </c>
      <c r="G6" s="130"/>
    </row>
    <row r="7" spans="1:7" ht="27.75" customHeight="1">
      <c r="A7" s="369"/>
      <c r="B7" s="142" t="s">
        <v>704</v>
      </c>
      <c r="C7" s="120" t="s">
        <v>711</v>
      </c>
      <c r="D7" s="120" t="s">
        <v>712</v>
      </c>
      <c r="E7" s="46" t="s">
        <v>108</v>
      </c>
      <c r="F7" s="46">
        <f t="shared" si="0"/>
        <v>3.9</v>
      </c>
      <c r="G7" s="130"/>
    </row>
    <row r="8" spans="1:7" ht="27.75" customHeight="1">
      <c r="A8" s="369"/>
      <c r="B8" s="142" t="s">
        <v>713</v>
      </c>
      <c r="C8" s="120" t="s">
        <v>714</v>
      </c>
      <c r="D8" s="120" t="s">
        <v>715</v>
      </c>
      <c r="E8" s="46" t="s">
        <v>104</v>
      </c>
      <c r="F8" s="46">
        <f t="shared" si="0"/>
        <v>7.5</v>
      </c>
      <c r="G8" s="130"/>
    </row>
    <row r="9" spans="1:7" ht="27.75" customHeight="1">
      <c r="A9" s="369"/>
      <c r="B9" s="142" t="s">
        <v>713</v>
      </c>
      <c r="C9" s="120" t="s">
        <v>716</v>
      </c>
      <c r="D9" s="120" t="s">
        <v>717</v>
      </c>
      <c r="E9" s="46" t="s">
        <v>107</v>
      </c>
      <c r="F9" s="46">
        <f t="shared" si="0"/>
        <v>5.2</v>
      </c>
      <c r="G9" s="130"/>
    </row>
    <row r="10" spans="1:7" ht="27.75" customHeight="1">
      <c r="A10" s="369"/>
      <c r="B10" s="142" t="s">
        <v>713</v>
      </c>
      <c r="C10" s="120" t="s">
        <v>718</v>
      </c>
      <c r="D10" s="120" t="s">
        <v>719</v>
      </c>
      <c r="E10" s="46" t="s">
        <v>107</v>
      </c>
      <c r="F10" s="46">
        <f t="shared" si="0"/>
        <v>5.2</v>
      </c>
      <c r="G10" s="130"/>
    </row>
    <row r="11" spans="1:7" ht="27.75" customHeight="1">
      <c r="A11" s="369"/>
      <c r="B11" s="142" t="s">
        <v>713</v>
      </c>
      <c r="C11" s="120" t="s">
        <v>720</v>
      </c>
      <c r="D11" s="120" t="s">
        <v>721</v>
      </c>
      <c r="E11" s="46" t="s">
        <v>107</v>
      </c>
      <c r="F11" s="46">
        <f t="shared" si="0"/>
        <v>5.2</v>
      </c>
      <c r="G11" s="130"/>
    </row>
    <row r="12" spans="1:7" ht="27.75" customHeight="1">
      <c r="A12" s="369"/>
      <c r="B12" s="142" t="s">
        <v>713</v>
      </c>
      <c r="C12" s="120" t="s">
        <v>722</v>
      </c>
      <c r="D12" s="120" t="s">
        <v>723</v>
      </c>
      <c r="E12" s="46" t="s">
        <v>108</v>
      </c>
      <c r="F12" s="46">
        <f t="shared" si="0"/>
        <v>3.9</v>
      </c>
      <c r="G12" s="130"/>
    </row>
    <row r="13" spans="1:7" ht="27.75" customHeight="1">
      <c r="A13" s="369"/>
      <c r="B13" s="142" t="s">
        <v>724</v>
      </c>
      <c r="C13" s="120" t="s">
        <v>725</v>
      </c>
      <c r="D13" s="120" t="s">
        <v>726</v>
      </c>
      <c r="E13" s="46" t="s">
        <v>104</v>
      </c>
      <c r="F13" s="46">
        <f t="shared" si="0"/>
        <v>7.5</v>
      </c>
      <c r="G13" s="130"/>
    </row>
    <row r="14" spans="1:7" ht="27.75" customHeight="1">
      <c r="A14" s="369"/>
      <c r="B14" s="142" t="s">
        <v>724</v>
      </c>
      <c r="C14" s="120" t="s">
        <v>727</v>
      </c>
      <c r="D14" s="120" t="s">
        <v>728</v>
      </c>
      <c r="E14" s="46" t="s">
        <v>108</v>
      </c>
      <c r="F14" s="46">
        <f t="shared" si="0"/>
        <v>3.9</v>
      </c>
      <c r="G14" s="130"/>
    </row>
    <row r="15" spans="1:7" ht="27.75" customHeight="1">
      <c r="A15" s="369"/>
      <c r="B15" s="142" t="s">
        <v>724</v>
      </c>
      <c r="C15" s="120" t="s">
        <v>729</v>
      </c>
      <c r="D15" s="120" t="s">
        <v>730</v>
      </c>
      <c r="E15" s="46" t="s">
        <v>106</v>
      </c>
      <c r="F15" s="46">
        <f t="shared" si="0"/>
        <v>4</v>
      </c>
      <c r="G15" s="130"/>
    </row>
    <row r="16" spans="1:7" ht="27.75" customHeight="1">
      <c r="A16" s="369"/>
      <c r="B16" s="142" t="s">
        <v>731</v>
      </c>
      <c r="C16" s="120" t="s">
        <v>732</v>
      </c>
      <c r="D16" s="120" t="s">
        <v>733</v>
      </c>
      <c r="E16" s="46" t="s">
        <v>107</v>
      </c>
      <c r="F16" s="46">
        <f t="shared" si="0"/>
        <v>5.2</v>
      </c>
      <c r="G16" s="130"/>
    </row>
    <row r="17" spans="1:7" ht="27.75" customHeight="1">
      <c r="A17" s="369"/>
      <c r="B17" s="142" t="s">
        <v>731</v>
      </c>
      <c r="C17" s="120" t="s">
        <v>734</v>
      </c>
      <c r="D17" s="120" t="s">
        <v>735</v>
      </c>
      <c r="E17" s="46" t="s">
        <v>107</v>
      </c>
      <c r="F17" s="46">
        <f t="shared" si="0"/>
        <v>5.2</v>
      </c>
      <c r="G17" s="130"/>
    </row>
    <row r="18" spans="1:7" ht="27.75" customHeight="1">
      <c r="A18" s="369"/>
      <c r="B18" s="142" t="s">
        <v>731</v>
      </c>
      <c r="C18" s="120" t="s">
        <v>736</v>
      </c>
      <c r="D18" s="120" t="s">
        <v>737</v>
      </c>
      <c r="E18" s="46" t="s">
        <v>107</v>
      </c>
      <c r="F18" s="46">
        <f t="shared" si="0"/>
        <v>5.2</v>
      </c>
      <c r="G18" s="130"/>
    </row>
    <row r="19" spans="1:7" ht="27.75" customHeight="1">
      <c r="A19" s="369"/>
      <c r="B19" s="142" t="s">
        <v>731</v>
      </c>
      <c r="C19" s="120" t="s">
        <v>738</v>
      </c>
      <c r="D19" s="120" t="s">
        <v>739</v>
      </c>
      <c r="E19" s="46" t="s">
        <v>107</v>
      </c>
      <c r="F19" s="46">
        <f t="shared" si="0"/>
        <v>5.2</v>
      </c>
      <c r="G19" s="130"/>
    </row>
    <row r="20" spans="1:7" ht="27.75" customHeight="1">
      <c r="A20" s="369"/>
      <c r="B20" s="142" t="s">
        <v>731</v>
      </c>
      <c r="C20" s="120" t="s">
        <v>740</v>
      </c>
      <c r="D20" s="120" t="s">
        <v>741</v>
      </c>
      <c r="E20" s="46" t="s">
        <v>107</v>
      </c>
      <c r="F20" s="46">
        <f t="shared" si="0"/>
        <v>5.2</v>
      </c>
      <c r="G20" s="130"/>
    </row>
    <row r="21" spans="1:7" ht="27.75" customHeight="1">
      <c r="A21" s="369"/>
      <c r="B21" s="142" t="s">
        <v>731</v>
      </c>
      <c r="C21" s="120" t="s">
        <v>742</v>
      </c>
      <c r="D21" s="120" t="s">
        <v>743</v>
      </c>
      <c r="E21" s="46" t="s">
        <v>107</v>
      </c>
      <c r="F21" s="46">
        <f t="shared" si="0"/>
        <v>5.2</v>
      </c>
      <c r="G21" s="130"/>
    </row>
    <row r="22" spans="1:7" ht="27.75" customHeight="1">
      <c r="A22" s="369"/>
      <c r="B22" s="142" t="s">
        <v>731</v>
      </c>
      <c r="C22" s="120" t="s">
        <v>744</v>
      </c>
      <c r="D22" s="120" t="s">
        <v>745</v>
      </c>
      <c r="E22" s="46" t="s">
        <v>107</v>
      </c>
      <c r="F22" s="46">
        <f t="shared" si="0"/>
        <v>5.2</v>
      </c>
      <c r="G22" s="130"/>
    </row>
    <row r="23" spans="1:7" ht="27.75" customHeight="1">
      <c r="A23" s="369"/>
      <c r="B23" s="142" t="s">
        <v>746</v>
      </c>
      <c r="C23" s="120" t="s">
        <v>747</v>
      </c>
      <c r="D23" s="120" t="s">
        <v>748</v>
      </c>
      <c r="E23" s="46" t="s">
        <v>108</v>
      </c>
      <c r="F23" s="46">
        <f t="shared" si="0"/>
        <v>3.9</v>
      </c>
      <c r="G23" s="130"/>
    </row>
    <row r="24" spans="1:7" ht="27.75" customHeight="1">
      <c r="A24" s="369"/>
      <c r="B24" s="142" t="s">
        <v>746</v>
      </c>
      <c r="C24" s="120" t="s">
        <v>749</v>
      </c>
      <c r="D24" s="120" t="s">
        <v>750</v>
      </c>
      <c r="E24" s="46" t="s">
        <v>104</v>
      </c>
      <c r="F24" s="46">
        <f t="shared" si="0"/>
        <v>7.5</v>
      </c>
      <c r="G24" s="130"/>
    </row>
    <row r="25" spans="1:7" ht="27.75" customHeight="1">
      <c r="A25" s="369"/>
      <c r="B25" s="142" t="s">
        <v>746</v>
      </c>
      <c r="C25" s="120" t="s">
        <v>751</v>
      </c>
      <c r="D25" s="120" t="s">
        <v>752</v>
      </c>
      <c r="E25" s="46" t="s">
        <v>106</v>
      </c>
      <c r="F25" s="46">
        <f t="shared" si="0"/>
        <v>4</v>
      </c>
      <c r="G25" s="130"/>
    </row>
    <row r="26" spans="1:7" ht="27.75" customHeight="1">
      <c r="A26" s="369"/>
      <c r="B26" s="142" t="s">
        <v>746</v>
      </c>
      <c r="C26" s="120" t="s">
        <v>753</v>
      </c>
      <c r="D26" s="120" t="s">
        <v>754</v>
      </c>
      <c r="E26" s="46" t="s">
        <v>108</v>
      </c>
      <c r="F26" s="46">
        <f t="shared" si="0"/>
        <v>3.9</v>
      </c>
      <c r="G26" s="130"/>
    </row>
    <row r="27" spans="1:7" ht="27.75" customHeight="1">
      <c r="A27" s="369"/>
      <c r="B27" s="142" t="s">
        <v>755</v>
      </c>
      <c r="C27" s="120" t="s">
        <v>756</v>
      </c>
      <c r="D27" s="120" t="s">
        <v>757</v>
      </c>
      <c r="E27" s="46" t="s">
        <v>106</v>
      </c>
      <c r="F27" s="46">
        <f t="shared" si="0"/>
        <v>4</v>
      </c>
      <c r="G27" s="130"/>
    </row>
    <row r="28" spans="1:7" ht="27.75" customHeight="1">
      <c r="A28" s="369"/>
      <c r="B28" s="142" t="s">
        <v>755</v>
      </c>
      <c r="C28" s="120" t="s">
        <v>758</v>
      </c>
      <c r="D28" s="120" t="s">
        <v>759</v>
      </c>
      <c r="E28" s="46" t="s">
        <v>106</v>
      </c>
      <c r="F28" s="46">
        <f t="shared" si="0"/>
        <v>4</v>
      </c>
      <c r="G28" s="130"/>
    </row>
    <row r="29" spans="1:7" ht="27.75" customHeight="1">
      <c r="A29" s="369"/>
      <c r="B29" s="142" t="s">
        <v>755</v>
      </c>
      <c r="C29" s="120" t="s">
        <v>760</v>
      </c>
      <c r="D29" s="120" t="s">
        <v>761</v>
      </c>
      <c r="E29" s="46" t="s">
        <v>106</v>
      </c>
      <c r="F29" s="46">
        <f t="shared" si="0"/>
        <v>4</v>
      </c>
      <c r="G29" s="130"/>
    </row>
    <row r="30" spans="1:7" ht="27.75" customHeight="1">
      <c r="A30" s="370"/>
      <c r="B30" s="142" t="s">
        <v>755</v>
      </c>
      <c r="C30" s="120" t="s">
        <v>762</v>
      </c>
      <c r="D30" s="120" t="s">
        <v>763</v>
      </c>
      <c r="E30" s="46" t="s">
        <v>106</v>
      </c>
      <c r="F30" s="46">
        <f t="shared" si="0"/>
        <v>4</v>
      </c>
      <c r="G30" s="130"/>
    </row>
    <row r="31" spans="1:7">
      <c r="F31" t="str">
        <f t="shared" ref="F31" si="1">IF(E31="","",IF(E31="EI",4,IF(E31="EO",5.2,IF(E31="EQ",3.9,IF(E31="ILF",7.5,IF(E31="EIF",5.4))))))</f>
        <v/>
      </c>
    </row>
    <row r="32" spans="1:7">
      <c r="A32" t="s">
        <v>242</v>
      </c>
      <c r="F32" s="45">
        <f>SUM(F4:F30)</f>
        <v>134.70000000000005</v>
      </c>
    </row>
    <row r="33" spans="1:7">
      <c r="A33" t="s">
        <v>243</v>
      </c>
    </row>
    <row r="34" spans="1:7">
      <c r="A34" t="s">
        <v>244</v>
      </c>
    </row>
    <row r="36" spans="1:7">
      <c r="A36" t="s">
        <v>245</v>
      </c>
    </row>
    <row r="37" spans="1:7">
      <c r="A37" t="s">
        <v>246</v>
      </c>
    </row>
    <row r="38" spans="1:7">
      <c r="A38" t="s">
        <v>247</v>
      </c>
    </row>
    <row r="39" spans="1:7">
      <c r="A39" t="s">
        <v>248</v>
      </c>
    </row>
    <row r="40" spans="1:7">
      <c r="A40" t="s">
        <v>249</v>
      </c>
    </row>
    <row r="41" spans="1:7">
      <c r="A41" t="s">
        <v>250</v>
      </c>
    </row>
    <row r="42" spans="1:7">
      <c r="A42" t="s">
        <v>251</v>
      </c>
    </row>
    <row r="43" spans="1:7">
      <c r="A43" t="s">
        <v>252</v>
      </c>
    </row>
    <row r="44" spans="1:7">
      <c r="A44" t="s">
        <v>253</v>
      </c>
    </row>
    <row r="45" spans="1:7">
      <c r="A45" t="s">
        <v>254</v>
      </c>
    </row>
    <row r="46" spans="1:7">
      <c r="A46" t="s">
        <v>255</v>
      </c>
    </row>
    <row r="47" spans="1:7">
      <c r="G47" t="str">
        <f>IF(F47="","",IF(F47="EI",4,IF(F47="EO",5.2,IF(F47="EQ",3.9,IF(F47="ILF",7.5,IF(F47="EIF",5.4))))))</f>
        <v/>
      </c>
    </row>
  </sheetData>
  <mergeCells count="4">
    <mergeCell ref="A1:G1"/>
    <mergeCell ref="A2:D2"/>
    <mergeCell ref="G2:G3"/>
    <mergeCell ref="A4:A30"/>
  </mergeCells>
  <phoneticPr fontId="4" type="noConversion"/>
  <pageMargins left="0.7" right="0.7" top="0.75" bottom="0.75" header="0.3" footer="0.3"/>
  <pageSetup paperSize="9" scale="5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5"/>
  <sheetViews>
    <sheetView tabSelected="1" view="pageBreakPreview" zoomScale="85" zoomScaleNormal="85" zoomScaleSheetLayoutView="85" workbookViewId="0">
      <selection activeCell="J9" sqref="J9"/>
    </sheetView>
  </sheetViews>
  <sheetFormatPr defaultRowHeight="16.5"/>
  <cols>
    <col min="10" max="10" width="11.5" bestFit="1" customWidth="1"/>
    <col min="13" max="13" width="127.625" bestFit="1" customWidth="1"/>
  </cols>
  <sheetData>
    <row r="1" spans="1:11" ht="26.25">
      <c r="A1" s="324" t="s">
        <v>764</v>
      </c>
      <c r="B1" s="324"/>
      <c r="C1" s="324"/>
      <c r="D1" s="325"/>
      <c r="E1" s="325"/>
      <c r="F1" s="325"/>
      <c r="G1" s="325"/>
      <c r="H1" s="325"/>
      <c r="I1" s="325"/>
      <c r="J1" s="325"/>
      <c r="K1" s="325"/>
    </row>
    <row r="2" spans="1:11">
      <c r="A2" s="1"/>
      <c r="B2" s="1"/>
      <c r="C2" s="1"/>
      <c r="D2" s="2"/>
      <c r="E2" s="2"/>
      <c r="F2" s="2"/>
      <c r="G2" s="2"/>
      <c r="H2" s="2"/>
      <c r="I2" s="2"/>
      <c r="J2" s="2"/>
      <c r="K2" s="3" t="s">
        <v>64</v>
      </c>
    </row>
    <row r="3" spans="1:11">
      <c r="A3" s="4"/>
      <c r="B3" s="4"/>
      <c r="C3" s="4"/>
      <c r="D3" s="2"/>
      <c r="E3" s="2"/>
      <c r="F3" s="2"/>
      <c r="G3" s="2"/>
      <c r="H3" s="2"/>
      <c r="I3" s="2"/>
      <c r="J3" s="2"/>
      <c r="K3" s="2"/>
    </row>
    <row r="4" spans="1:11">
      <c r="A4" s="5" t="s">
        <v>65</v>
      </c>
      <c r="B4" s="5"/>
      <c r="C4" s="5"/>
      <c r="D4" s="6"/>
      <c r="E4" s="6"/>
      <c r="F4" s="6"/>
      <c r="G4" s="6"/>
      <c r="H4" s="6"/>
      <c r="I4" s="6"/>
      <c r="J4" s="305" t="s">
        <v>66</v>
      </c>
      <c r="K4" s="305"/>
    </row>
    <row r="5" spans="1:11">
      <c r="A5" s="326" t="s">
        <v>67</v>
      </c>
      <c r="B5" s="327"/>
      <c r="C5" s="330" t="s">
        <v>68</v>
      </c>
      <c r="D5" s="331"/>
      <c r="E5" s="371" t="s">
        <v>69</v>
      </c>
      <c r="F5" s="372"/>
      <c r="G5" s="372"/>
      <c r="H5" s="372"/>
      <c r="I5" s="373"/>
      <c r="J5" s="335" t="s">
        <v>70</v>
      </c>
      <c r="K5" s="337" t="s">
        <v>71</v>
      </c>
    </row>
    <row r="6" spans="1:11">
      <c r="A6" s="328"/>
      <c r="B6" s="329"/>
      <c r="C6" s="332"/>
      <c r="D6" s="333"/>
      <c r="E6" s="7" t="s">
        <v>72</v>
      </c>
      <c r="F6" s="8" t="s">
        <v>73</v>
      </c>
      <c r="G6" s="7" t="s">
        <v>74</v>
      </c>
      <c r="H6" s="8" t="s">
        <v>75</v>
      </c>
      <c r="I6" s="7" t="s">
        <v>76</v>
      </c>
      <c r="J6" s="336"/>
      <c r="K6" s="338"/>
    </row>
    <row r="7" spans="1:11">
      <c r="A7" s="339">
        <f>I31</f>
        <v>377.90000000000003</v>
      </c>
      <c r="B7" s="340"/>
      <c r="C7" s="341">
        <v>605784</v>
      </c>
      <c r="D7" s="342"/>
      <c r="E7" s="9">
        <f>J22</f>
        <v>1.28</v>
      </c>
      <c r="F7" s="10">
        <f>J23</f>
        <v>1.06</v>
      </c>
      <c r="G7" s="11">
        <f>J24</f>
        <v>1</v>
      </c>
      <c r="H7" s="12">
        <f>J25</f>
        <v>1</v>
      </c>
      <c r="I7" s="10">
        <f>J26</f>
        <v>1</v>
      </c>
      <c r="J7" s="13">
        <f>PRODUCT(A7:I7)</f>
        <v>310606489.62048006</v>
      </c>
      <c r="K7" s="14"/>
    </row>
    <row r="8" spans="1:11">
      <c r="A8" s="343" t="s">
        <v>77</v>
      </c>
      <c r="B8" s="344"/>
      <c r="C8" s="344"/>
      <c r="D8" s="344"/>
      <c r="E8" s="344"/>
      <c r="F8" s="344"/>
      <c r="G8" s="344"/>
      <c r="H8" s="344"/>
      <c r="I8" s="15"/>
      <c r="J8" s="16">
        <f>SUM(J7:K7)</f>
        <v>310606489.62048006</v>
      </c>
      <c r="K8" s="17"/>
    </row>
    <row r="9" spans="1:11">
      <c r="A9" s="345" t="s">
        <v>78</v>
      </c>
      <c r="B9" s="346"/>
      <c r="C9" s="346"/>
      <c r="D9" s="346"/>
      <c r="E9" s="346"/>
      <c r="F9" s="346"/>
      <c r="G9" s="346"/>
      <c r="H9" s="346"/>
      <c r="I9" s="18">
        <v>0.19500000000000001</v>
      </c>
      <c r="J9" s="19">
        <f>J8*I9</f>
        <v>60568265.475993611</v>
      </c>
      <c r="K9" s="20"/>
    </row>
    <row r="10" spans="1:11">
      <c r="A10" s="347" t="s">
        <v>79</v>
      </c>
      <c r="B10" s="348"/>
      <c r="C10" s="348"/>
      <c r="D10" s="348"/>
      <c r="E10" s="348"/>
      <c r="F10" s="348"/>
      <c r="G10" s="348"/>
      <c r="H10" s="348"/>
      <c r="I10" s="21"/>
      <c r="J10" s="22">
        <v>-9083000</v>
      </c>
      <c r="K10" s="23"/>
    </row>
    <row r="11" spans="1:11">
      <c r="A11" s="303" t="s">
        <v>80</v>
      </c>
      <c r="B11" s="304"/>
      <c r="C11" s="304"/>
      <c r="D11" s="304"/>
      <c r="E11" s="304"/>
      <c r="F11" s="304"/>
      <c r="G11" s="304"/>
      <c r="H11" s="304"/>
      <c r="I11" s="24"/>
      <c r="J11" s="25">
        <f>J8+J9+J10</f>
        <v>362091755.09647369</v>
      </c>
      <c r="K11" s="26"/>
    </row>
    <row r="12" spans="1:11">
      <c r="A12" s="303" t="s">
        <v>81</v>
      </c>
      <c r="B12" s="304"/>
      <c r="C12" s="304"/>
      <c r="D12" s="304"/>
      <c r="E12" s="304"/>
      <c r="F12" s="304"/>
      <c r="G12" s="304"/>
      <c r="H12" s="304"/>
      <c r="I12" s="24"/>
      <c r="J12" s="25">
        <f>ROUNDDOWN(J11*1.1, -5)</f>
        <v>398300000</v>
      </c>
      <c r="K12" s="26"/>
    </row>
    <row r="13" spans="1:11">
      <c r="A13" s="27"/>
      <c r="B13" s="27"/>
      <c r="C13" s="27"/>
      <c r="D13" s="6"/>
      <c r="E13" s="6"/>
      <c r="F13" s="6"/>
      <c r="G13" s="6"/>
      <c r="H13" s="6"/>
      <c r="I13" s="6"/>
      <c r="J13" s="6"/>
      <c r="K13" s="28"/>
    </row>
    <row r="14" spans="1:11">
      <c r="A14" s="29" t="s">
        <v>82</v>
      </c>
      <c r="B14" s="5"/>
      <c r="C14" s="5"/>
      <c r="D14" s="6"/>
      <c r="E14" s="6"/>
      <c r="F14" s="6"/>
      <c r="G14" s="6"/>
      <c r="H14" s="6"/>
      <c r="I14" s="6"/>
      <c r="J14" s="305" t="s">
        <v>66</v>
      </c>
      <c r="K14" s="305"/>
    </row>
    <row r="15" spans="1:11">
      <c r="A15" s="306" t="s">
        <v>83</v>
      </c>
      <c r="B15" s="307"/>
      <c r="C15" s="308" t="s">
        <v>84</v>
      </c>
      <c r="D15" s="308"/>
      <c r="E15" s="308"/>
      <c r="F15" s="308"/>
      <c r="G15" s="308"/>
      <c r="H15" s="308"/>
      <c r="I15" s="308"/>
      <c r="J15" s="309" t="s">
        <v>85</v>
      </c>
      <c r="K15" s="310"/>
    </row>
    <row r="16" spans="1:11" ht="29.45" customHeight="1">
      <c r="A16" s="311"/>
      <c r="B16" s="312"/>
      <c r="C16" s="313"/>
      <c r="D16" s="314"/>
      <c r="E16" s="314"/>
      <c r="F16" s="314"/>
      <c r="G16" s="314"/>
      <c r="H16" s="314"/>
      <c r="I16" s="314"/>
      <c r="J16" s="315"/>
      <c r="K16" s="316"/>
    </row>
    <row r="17" spans="1:14">
      <c r="A17" s="317"/>
      <c r="B17" s="318"/>
      <c r="C17" s="319"/>
      <c r="D17" s="319"/>
      <c r="E17" s="319"/>
      <c r="F17" s="319"/>
      <c r="G17" s="319"/>
      <c r="H17" s="319"/>
      <c r="I17" s="319"/>
      <c r="J17" s="320"/>
      <c r="K17" s="321"/>
    </row>
    <row r="18" spans="1:14">
      <c r="A18" s="303" t="s">
        <v>86</v>
      </c>
      <c r="B18" s="304"/>
      <c r="C18" s="304"/>
      <c r="D18" s="304"/>
      <c r="E18" s="304"/>
      <c r="F18" s="304"/>
      <c r="G18" s="304"/>
      <c r="H18" s="304"/>
      <c r="I18" s="304"/>
      <c r="J18" s="322">
        <f>SUM(J16:K17)</f>
        <v>0</v>
      </c>
      <c r="K18" s="323"/>
    </row>
    <row r="19" spans="1:1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4">
      <c r="A20" s="5" t="s">
        <v>87</v>
      </c>
      <c r="B20" s="5"/>
      <c r="C20" s="5"/>
      <c r="D20" s="27"/>
      <c r="E20" s="27"/>
      <c r="F20" s="27"/>
      <c r="G20" s="27"/>
      <c r="H20" s="27"/>
      <c r="I20" s="27"/>
      <c r="J20" s="6"/>
      <c r="K20" s="6"/>
    </row>
    <row r="21" spans="1:14">
      <c r="A21" s="299" t="s">
        <v>88</v>
      </c>
      <c r="B21" s="300"/>
      <c r="C21" s="300" t="s">
        <v>89</v>
      </c>
      <c r="D21" s="300"/>
      <c r="E21" s="300"/>
      <c r="F21" s="300"/>
      <c r="G21" s="300"/>
      <c r="H21" s="300"/>
      <c r="I21" s="300"/>
      <c r="J21" s="301" t="s">
        <v>69</v>
      </c>
      <c r="K21" s="302"/>
    </row>
    <row r="22" spans="1:14" ht="35.25" customHeight="1">
      <c r="A22" s="288" t="s">
        <v>90</v>
      </c>
      <c r="B22" s="289"/>
      <c r="C22" s="295" t="str">
        <f>"= 0.4057 x (log e("&amp;A7&amp;") - 7.1978)^2 + 0.8878
   (단, 500FP 미만 1.28, 3,000FP 초과 1.153 적용)"</f>
        <v>= 0.4057 x (log e(377.9) - 7.1978)^2 + 0.8878
   (단, 500FP 미만 1.28, 3,000FP 초과 1.153 적용)</v>
      </c>
      <c r="D22" s="296"/>
      <c r="E22" s="296"/>
      <c r="F22" s="296"/>
      <c r="G22" s="296"/>
      <c r="H22" s="296"/>
      <c r="I22" s="289"/>
      <c r="J22" s="297">
        <f>IF(A7&lt;500,1.28,IF(A7&gt;3000,1.153,0.4057*(LN(A7)-7.1978)^2+0.8878))</f>
        <v>1.28</v>
      </c>
      <c r="K22" s="298"/>
    </row>
    <row r="23" spans="1:14">
      <c r="A23" s="288" t="s">
        <v>73</v>
      </c>
      <c r="B23" s="289"/>
      <c r="C23" s="290" t="s">
        <v>100</v>
      </c>
      <c r="D23" s="291"/>
      <c r="E23" s="291"/>
      <c r="F23" s="291"/>
      <c r="G23" s="291"/>
      <c r="H23" s="291"/>
      <c r="I23" s="292"/>
      <c r="J23" s="293">
        <f>VLOOKUP(C23,M23:N27,2,1)</f>
        <v>1.06</v>
      </c>
      <c r="K23" s="294"/>
      <c r="M23" t="s">
        <v>92</v>
      </c>
      <c r="N23">
        <v>0.88</v>
      </c>
    </row>
    <row r="24" spans="1:14">
      <c r="A24" s="288" t="s">
        <v>93</v>
      </c>
      <c r="B24" s="289"/>
      <c r="C24" s="290" t="s">
        <v>94</v>
      </c>
      <c r="D24" s="291"/>
      <c r="E24" s="291"/>
      <c r="F24" s="291"/>
      <c r="G24" s="291"/>
      <c r="H24" s="291"/>
      <c r="I24" s="292"/>
      <c r="J24" s="293">
        <f>VLOOKUP(C24,M28:N32,2,1)</f>
        <v>1</v>
      </c>
      <c r="K24" s="294"/>
      <c r="M24" t="s">
        <v>91</v>
      </c>
      <c r="N24">
        <v>0.94</v>
      </c>
    </row>
    <row r="25" spans="1:14" ht="31.5" customHeight="1">
      <c r="A25" s="288" t="s">
        <v>95</v>
      </c>
      <c r="B25" s="289"/>
      <c r="C25" s="290" t="s">
        <v>96</v>
      </c>
      <c r="D25" s="291"/>
      <c r="E25" s="291"/>
      <c r="F25" s="291"/>
      <c r="G25" s="291"/>
      <c r="H25" s="291"/>
      <c r="I25" s="292"/>
      <c r="J25" s="293">
        <f>VLOOKUP(C25,M33:N37,2,1)</f>
        <v>1</v>
      </c>
      <c r="K25" s="294"/>
      <c r="M25" t="s">
        <v>97</v>
      </c>
      <c r="N25">
        <v>1</v>
      </c>
    </row>
    <row r="26" spans="1:14">
      <c r="A26" s="272" t="s">
        <v>98</v>
      </c>
      <c r="B26" s="273"/>
      <c r="C26" s="274" t="s">
        <v>99</v>
      </c>
      <c r="D26" s="275"/>
      <c r="E26" s="275"/>
      <c r="F26" s="275"/>
      <c r="G26" s="275"/>
      <c r="H26" s="275"/>
      <c r="I26" s="276"/>
      <c r="J26" s="277">
        <f>VLOOKUP(C26,M38:N42,2,1)</f>
        <v>1</v>
      </c>
      <c r="K26" s="278"/>
      <c r="M26" t="s">
        <v>100</v>
      </c>
      <c r="N26">
        <v>1.06</v>
      </c>
    </row>
    <row r="27" spans="1:14">
      <c r="A27" s="30"/>
      <c r="B27" s="30"/>
      <c r="C27" s="30"/>
      <c r="D27" s="30"/>
      <c r="E27" s="30"/>
      <c r="F27" s="30"/>
      <c r="G27" s="30"/>
      <c r="H27" s="30"/>
      <c r="I27" s="30"/>
      <c r="J27" s="31"/>
      <c r="K27" s="31"/>
      <c r="M27" t="s">
        <v>101</v>
      </c>
      <c r="N27">
        <v>1.1200000000000001</v>
      </c>
    </row>
    <row r="28" spans="1:14">
      <c r="A28" s="32" t="s">
        <v>102</v>
      </c>
      <c r="B28" s="32"/>
      <c r="C28" s="32"/>
      <c r="D28" s="33"/>
      <c r="E28" s="33"/>
      <c r="F28" s="33"/>
      <c r="G28" s="33"/>
      <c r="H28" s="33"/>
      <c r="I28" s="33"/>
      <c r="J28" s="33"/>
      <c r="K28" s="33"/>
      <c r="M28" t="s">
        <v>103</v>
      </c>
      <c r="N28">
        <v>0.91</v>
      </c>
    </row>
    <row r="29" spans="1:14">
      <c r="A29" s="34" t="s">
        <v>83</v>
      </c>
      <c r="B29" s="35"/>
      <c r="C29" s="35"/>
      <c r="D29" s="34" t="s">
        <v>104</v>
      </c>
      <c r="E29" s="34" t="s">
        <v>105</v>
      </c>
      <c r="F29" s="34" t="s">
        <v>106</v>
      </c>
      <c r="G29" s="34" t="s">
        <v>107</v>
      </c>
      <c r="H29" s="34" t="s">
        <v>108</v>
      </c>
      <c r="I29" s="279" t="s">
        <v>109</v>
      </c>
      <c r="J29" s="280"/>
      <c r="K29" s="281"/>
      <c r="M29" t="s">
        <v>110</v>
      </c>
      <c r="N29">
        <v>0.95</v>
      </c>
    </row>
    <row r="30" spans="1:14">
      <c r="A30" s="36" t="s">
        <v>111</v>
      </c>
      <c r="B30" s="37"/>
      <c r="C30" s="37"/>
      <c r="D30" s="38">
        <f>COUNTIF('06.대시보드 및 시각화 FP산정'!E4:E112,"ILF")</f>
        <v>37</v>
      </c>
      <c r="E30" s="38">
        <f>COUNTIF('06.대시보드 및 시각화 FP산정'!E4:E112,"EIF")</f>
        <v>0</v>
      </c>
      <c r="F30" s="38">
        <f>COUNTIF('06.대시보드 및 시각화 FP산정'!E4:E112,"EI")</f>
        <v>3</v>
      </c>
      <c r="G30" s="38">
        <f>COUNTIF('06.대시보드 및 시각화 FP산정'!E4:E112,"EO")</f>
        <v>17</v>
      </c>
      <c r="H30" s="38">
        <f>COUNTIF('06.대시보드 및 시각화 FP산정'!E4:E112,"EQ")</f>
        <v>0</v>
      </c>
      <c r="I30" s="282">
        <f>SUM(D30:H30)</f>
        <v>57</v>
      </c>
      <c r="J30" s="283"/>
      <c r="K30" s="284"/>
      <c r="M30" t="s">
        <v>94</v>
      </c>
      <c r="N30">
        <v>1</v>
      </c>
    </row>
    <row r="31" spans="1:14">
      <c r="A31" s="36" t="s">
        <v>112</v>
      </c>
      <c r="B31" s="37"/>
      <c r="C31" s="37"/>
      <c r="D31" s="38">
        <f>SUMIF('06.대시보드 및 시각화 FP산정'!E4:E112,"ILF",'06.대시보드 및 시각화 FP산정'!$F4:$F112)</f>
        <v>277.5</v>
      </c>
      <c r="E31" s="38">
        <f>SUMIF('06.대시보드 및 시각화 FP산정'!E4:E112,"EIF",'06.대시보드 및 시각화 FP산정'!$F4:$F112)</f>
        <v>0</v>
      </c>
      <c r="F31" s="38">
        <f>SUMIF('06.대시보드 및 시각화 FP산정'!E4:E112,"EI",'06.대시보드 및 시각화 FP산정'!$F4:$F112)</f>
        <v>12</v>
      </c>
      <c r="G31" s="38">
        <f>SUMIF('06.대시보드 및 시각화 FP산정'!E4:E112,"EO",'06.대시보드 및 시각화 FP산정'!$F4:$F112)</f>
        <v>88.40000000000002</v>
      </c>
      <c r="H31" s="38">
        <f>SUMIF('06.대시보드 및 시각화 FP산정'!E4:E112,"EQ",'06.대시보드 및 시각화 FP산정'!$F4:$F112)</f>
        <v>0</v>
      </c>
      <c r="I31" s="285">
        <f>SUM(D31:H31)</f>
        <v>377.90000000000003</v>
      </c>
      <c r="J31" s="286"/>
      <c r="K31" s="287"/>
      <c r="M31" t="s">
        <v>113</v>
      </c>
      <c r="N31">
        <v>1.05</v>
      </c>
    </row>
    <row r="32" spans="1:14">
      <c r="A32" s="39" t="s">
        <v>114</v>
      </c>
      <c r="B32" s="40"/>
      <c r="C32" s="40"/>
      <c r="D32" s="41">
        <f>IF($I$31&gt;0,D31/$I$31,"-")</f>
        <v>0.73432124900767393</v>
      </c>
      <c r="E32" s="41">
        <f t="shared" ref="E32:H32" si="0">IF($I$31&gt;0,E31/$I$31,"-")</f>
        <v>0</v>
      </c>
      <c r="F32" s="41">
        <f t="shared" si="0"/>
        <v>3.1754432389521033E-2</v>
      </c>
      <c r="G32" s="41">
        <f t="shared" si="0"/>
        <v>0.23392431860280499</v>
      </c>
      <c r="H32" s="41">
        <f t="shared" si="0"/>
        <v>0</v>
      </c>
      <c r="I32" s="269">
        <f t="shared" ref="I32" si="1">SUM(D32:H32)</f>
        <v>1</v>
      </c>
      <c r="J32" s="270"/>
      <c r="K32" s="271"/>
      <c r="M32" t="s">
        <v>115</v>
      </c>
      <c r="N32">
        <v>1.0900000000000001</v>
      </c>
    </row>
    <row r="33" spans="1:14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M33" t="s">
        <v>116</v>
      </c>
      <c r="N33">
        <v>0.94</v>
      </c>
    </row>
    <row r="34" spans="1:1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M34" t="s">
        <v>96</v>
      </c>
      <c r="N34">
        <v>1</v>
      </c>
    </row>
    <row r="35" spans="1:14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M35" t="s">
        <v>117</v>
      </c>
      <c r="N35">
        <v>1.06</v>
      </c>
    </row>
    <row r="36" spans="1:14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M36" t="s">
        <v>118</v>
      </c>
      <c r="N36">
        <v>1.1299999999999999</v>
      </c>
    </row>
    <row r="37" spans="1:14">
      <c r="M37" t="s">
        <v>119</v>
      </c>
      <c r="N37">
        <v>1.19</v>
      </c>
    </row>
    <row r="38" spans="1:14">
      <c r="M38" t="s">
        <v>120</v>
      </c>
      <c r="N38">
        <v>0.97</v>
      </c>
    </row>
    <row r="39" spans="1:14">
      <c r="M39" t="s">
        <v>99</v>
      </c>
      <c r="N39">
        <v>1</v>
      </c>
    </row>
    <row r="40" spans="1:14">
      <c r="M40" t="s">
        <v>121</v>
      </c>
      <c r="N40">
        <v>1.03</v>
      </c>
    </row>
    <row r="41" spans="1:14">
      <c r="M41" t="s">
        <v>122</v>
      </c>
      <c r="N41">
        <v>1.06</v>
      </c>
    </row>
    <row r="42" spans="1:14">
      <c r="M42" t="s">
        <v>123</v>
      </c>
      <c r="N42">
        <v>1.08</v>
      </c>
    </row>
    <row r="44" spans="1:14">
      <c r="A44" t="s">
        <v>124</v>
      </c>
    </row>
    <row r="45" spans="1:14">
      <c r="A45" s="44" t="s">
        <v>125</v>
      </c>
    </row>
  </sheetData>
  <mergeCells count="48">
    <mergeCell ref="A11:H11"/>
    <mergeCell ref="A1:K1"/>
    <mergeCell ref="J4:K4"/>
    <mergeCell ref="A5:B6"/>
    <mergeCell ref="C5:D6"/>
    <mergeCell ref="E5:I5"/>
    <mergeCell ref="J5:J6"/>
    <mergeCell ref="K5:K6"/>
    <mergeCell ref="A7:B7"/>
    <mergeCell ref="C7:D7"/>
    <mergeCell ref="A8:H8"/>
    <mergeCell ref="A9:H9"/>
    <mergeCell ref="A10:H10"/>
    <mergeCell ref="A21:B21"/>
    <mergeCell ref="C21:I21"/>
    <mergeCell ref="J21:K21"/>
    <mergeCell ref="A12:H12"/>
    <mergeCell ref="J14:K14"/>
    <mergeCell ref="A15:B15"/>
    <mergeCell ref="C15:I15"/>
    <mergeCell ref="J15:K15"/>
    <mergeCell ref="A16:B16"/>
    <mergeCell ref="C16:I16"/>
    <mergeCell ref="J16:K16"/>
    <mergeCell ref="A17:B17"/>
    <mergeCell ref="C17:I17"/>
    <mergeCell ref="J17:K17"/>
    <mergeCell ref="A18:I18"/>
    <mergeCell ref="J18:K18"/>
    <mergeCell ref="A22:B22"/>
    <mergeCell ref="C22:I22"/>
    <mergeCell ref="J22:K22"/>
    <mergeCell ref="A23:B23"/>
    <mergeCell ref="C23:I23"/>
    <mergeCell ref="J23:K23"/>
    <mergeCell ref="A24:B24"/>
    <mergeCell ref="C24:I24"/>
    <mergeCell ref="J24:K24"/>
    <mergeCell ref="A25:B25"/>
    <mergeCell ref="C25:I25"/>
    <mergeCell ref="J25:K25"/>
    <mergeCell ref="I32:K32"/>
    <mergeCell ref="A26:B26"/>
    <mergeCell ref="C26:I26"/>
    <mergeCell ref="J26:K26"/>
    <mergeCell ref="I29:K29"/>
    <mergeCell ref="I30:K30"/>
    <mergeCell ref="I31:K31"/>
  </mergeCells>
  <phoneticPr fontId="4" type="noConversion"/>
  <dataValidations count="4">
    <dataValidation type="list" allowBlank="1" showInputMessage="1" showErrorMessage="1" sqref="C23:I23" xr:uid="{00000000-0002-0000-0C00-000000000000}">
      <formula1>$M$23:$M$27</formula1>
    </dataValidation>
    <dataValidation type="list" allowBlank="1" showInputMessage="1" showErrorMessage="1" sqref="C24:I24" xr:uid="{00000000-0002-0000-0C00-000001000000}">
      <formula1>$M$28:$M$32</formula1>
    </dataValidation>
    <dataValidation type="list" allowBlank="1" showInputMessage="1" showErrorMessage="1" sqref="C25:I25" xr:uid="{00000000-0002-0000-0C00-000002000000}">
      <formula1>$M$33:$M$37</formula1>
    </dataValidation>
    <dataValidation type="list" allowBlank="1" showInputMessage="1" showErrorMessage="1" sqref="C26:I26" xr:uid="{00000000-0002-0000-0C00-000003000000}">
      <formula1>$M$38:$M$42</formula1>
    </dataValidation>
  </dataValidations>
  <pageMargins left="0.7" right="0.7" top="0.75" bottom="0.75" header="0.3" footer="0.3"/>
  <pageSetup paperSize="9" scale="79" orientation="portrait" r:id="rId1"/>
  <colBreaks count="1" manualBreakCount="1">
    <brk id="11" max="4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7"/>
  <sheetViews>
    <sheetView view="pageBreakPreview" zoomScale="70" zoomScaleNormal="55" zoomScaleSheetLayoutView="70" workbookViewId="0">
      <selection activeCell="D18" sqref="D18"/>
    </sheetView>
  </sheetViews>
  <sheetFormatPr defaultRowHeight="16.5"/>
  <cols>
    <col min="1" max="1" width="17.625" customWidth="1"/>
    <col min="2" max="2" width="20" bestFit="1" customWidth="1"/>
    <col min="3" max="3" width="21.75" customWidth="1"/>
    <col min="4" max="4" width="43.5" bestFit="1" customWidth="1"/>
    <col min="5" max="5" width="23.5" bestFit="1" customWidth="1"/>
    <col min="6" max="7" width="11.625" customWidth="1"/>
  </cols>
  <sheetData>
    <row r="1" spans="1:7" ht="45.75" thickBot="1">
      <c r="A1" s="354" t="s">
        <v>765</v>
      </c>
      <c r="B1" s="354"/>
      <c r="C1" s="354"/>
      <c r="D1" s="354"/>
      <c r="E1" s="354"/>
      <c r="F1" s="354"/>
      <c r="G1" s="354"/>
    </row>
    <row r="2" spans="1:7" ht="57" customHeight="1">
      <c r="A2" s="355" t="s">
        <v>127</v>
      </c>
      <c r="B2" s="356"/>
      <c r="C2" s="356"/>
      <c r="D2" s="356"/>
      <c r="E2" s="127" t="s">
        <v>128</v>
      </c>
      <c r="F2" s="128" t="s">
        <v>129</v>
      </c>
      <c r="G2" s="357" t="s">
        <v>71</v>
      </c>
    </row>
    <row r="3" spans="1:7" ht="48.75" customHeight="1">
      <c r="A3" s="132" t="s">
        <v>130</v>
      </c>
      <c r="B3" s="131" t="s">
        <v>131</v>
      </c>
      <c r="C3" s="131" t="s">
        <v>132</v>
      </c>
      <c r="D3" s="131" t="s">
        <v>133</v>
      </c>
      <c r="E3" s="131" t="s">
        <v>134</v>
      </c>
      <c r="F3" s="131" t="s">
        <v>135</v>
      </c>
      <c r="G3" s="358"/>
    </row>
    <row r="4" spans="1:7" ht="27.75" customHeight="1">
      <c r="A4" s="360" t="s">
        <v>18</v>
      </c>
      <c r="B4" s="133" t="s">
        <v>766</v>
      </c>
      <c r="C4" s="122" t="s">
        <v>767</v>
      </c>
      <c r="D4" s="122" t="s">
        <v>768</v>
      </c>
      <c r="E4" s="123" t="s">
        <v>104</v>
      </c>
      <c r="F4" s="46">
        <f t="shared" ref="F4:F61" si="0">IF(E4="","",IF(E4="EI",4,IF(E4="EO",5.2,IF(E4="EQ",3.9,IF(E4="ILF",7.5,IF(E4="EIF",5.4))))))</f>
        <v>7.5</v>
      </c>
      <c r="G4" s="130"/>
    </row>
    <row r="5" spans="1:7" ht="27.75" customHeight="1">
      <c r="A5" s="360"/>
      <c r="B5" s="133"/>
      <c r="C5" s="122" t="s">
        <v>769</v>
      </c>
      <c r="D5" s="122" t="s">
        <v>768</v>
      </c>
      <c r="E5" s="123" t="s">
        <v>104</v>
      </c>
      <c r="F5" s="46">
        <f t="shared" si="0"/>
        <v>7.5</v>
      </c>
      <c r="G5" s="130"/>
    </row>
    <row r="6" spans="1:7" ht="27.75" customHeight="1">
      <c r="A6" s="360"/>
      <c r="B6" s="133"/>
      <c r="C6" s="134" t="s">
        <v>770</v>
      </c>
      <c r="D6" s="124" t="s">
        <v>768</v>
      </c>
      <c r="E6" s="125" t="s">
        <v>104</v>
      </c>
      <c r="F6" s="46">
        <f t="shared" si="0"/>
        <v>7.5</v>
      </c>
      <c r="G6" s="130"/>
    </row>
    <row r="7" spans="1:7" ht="27.75" customHeight="1">
      <c r="A7" s="360"/>
      <c r="B7" s="133"/>
      <c r="C7" s="134" t="s">
        <v>771</v>
      </c>
      <c r="D7" s="124" t="s">
        <v>772</v>
      </c>
      <c r="E7" s="125" t="s">
        <v>104</v>
      </c>
      <c r="F7" s="46">
        <f t="shared" si="0"/>
        <v>7.5</v>
      </c>
      <c r="G7" s="130"/>
    </row>
    <row r="8" spans="1:7" ht="27.75" customHeight="1">
      <c r="A8" s="360"/>
      <c r="B8" s="133"/>
      <c r="C8" s="134" t="s">
        <v>773</v>
      </c>
      <c r="D8" s="124" t="s">
        <v>772</v>
      </c>
      <c r="E8" s="125" t="s">
        <v>104</v>
      </c>
      <c r="F8" s="46">
        <f t="shared" si="0"/>
        <v>7.5</v>
      </c>
      <c r="G8" s="130"/>
    </row>
    <row r="9" spans="1:7" ht="27.75" customHeight="1">
      <c r="A9" s="360"/>
      <c r="B9" s="133"/>
      <c r="C9" s="134" t="s">
        <v>774</v>
      </c>
      <c r="D9" s="124" t="s">
        <v>772</v>
      </c>
      <c r="E9" s="125" t="s">
        <v>104</v>
      </c>
      <c r="F9" s="46">
        <f t="shared" si="0"/>
        <v>7.5</v>
      </c>
      <c r="G9" s="130"/>
    </row>
    <row r="10" spans="1:7" ht="27.75" customHeight="1">
      <c r="A10" s="360"/>
      <c r="B10" s="133"/>
      <c r="C10" s="134" t="s">
        <v>775</v>
      </c>
      <c r="D10" s="124" t="s">
        <v>768</v>
      </c>
      <c r="E10" s="125" t="s">
        <v>104</v>
      </c>
      <c r="F10" s="46">
        <f t="shared" si="0"/>
        <v>7.5</v>
      </c>
      <c r="G10" s="130"/>
    </row>
    <row r="11" spans="1:7" ht="27.75" customHeight="1">
      <c r="A11" s="360"/>
      <c r="B11" s="133"/>
      <c r="C11" s="134" t="s">
        <v>776</v>
      </c>
      <c r="D11" s="124" t="s">
        <v>772</v>
      </c>
      <c r="E11" s="125" t="s">
        <v>104</v>
      </c>
      <c r="F11" s="46">
        <f t="shared" si="0"/>
        <v>7.5</v>
      </c>
      <c r="G11" s="130"/>
    </row>
    <row r="12" spans="1:7" ht="27.75" customHeight="1">
      <c r="A12" s="360"/>
      <c r="B12" s="133"/>
      <c r="C12" s="134" t="s">
        <v>777</v>
      </c>
      <c r="D12" s="124" t="s">
        <v>778</v>
      </c>
      <c r="E12" s="125" t="s">
        <v>104</v>
      </c>
      <c r="F12" s="46">
        <f t="shared" si="0"/>
        <v>7.5</v>
      </c>
      <c r="G12" s="130"/>
    </row>
    <row r="13" spans="1:7" ht="27.75" customHeight="1">
      <c r="A13" s="360"/>
      <c r="B13" s="133"/>
      <c r="C13" s="134" t="s">
        <v>779</v>
      </c>
      <c r="D13" s="124" t="s">
        <v>780</v>
      </c>
      <c r="E13" s="125" t="s">
        <v>104</v>
      </c>
      <c r="F13" s="46">
        <f t="shared" si="0"/>
        <v>7.5</v>
      </c>
      <c r="G13" s="130"/>
    </row>
    <row r="14" spans="1:7" ht="27.75" customHeight="1">
      <c r="A14" s="360"/>
      <c r="B14" s="133"/>
      <c r="C14" s="134" t="s">
        <v>781</v>
      </c>
      <c r="D14" s="124" t="s">
        <v>782</v>
      </c>
      <c r="E14" s="125" t="s">
        <v>104</v>
      </c>
      <c r="F14" s="46">
        <f t="shared" si="0"/>
        <v>7.5</v>
      </c>
      <c r="G14" s="130"/>
    </row>
    <row r="15" spans="1:7" ht="27.75" customHeight="1">
      <c r="A15" s="360"/>
      <c r="B15" s="133"/>
      <c r="C15" s="134" t="s">
        <v>783</v>
      </c>
      <c r="D15" s="124" t="s">
        <v>784</v>
      </c>
      <c r="E15" s="125" t="s">
        <v>104</v>
      </c>
      <c r="F15" s="46">
        <f t="shared" si="0"/>
        <v>7.5</v>
      </c>
      <c r="G15" s="130"/>
    </row>
    <row r="16" spans="1:7" ht="27.75" customHeight="1">
      <c r="A16" s="360"/>
      <c r="B16" s="133"/>
      <c r="C16" s="134" t="s">
        <v>785</v>
      </c>
      <c r="D16" s="124" t="s">
        <v>786</v>
      </c>
      <c r="E16" s="125" t="s">
        <v>104</v>
      </c>
      <c r="F16" s="46">
        <f t="shared" si="0"/>
        <v>7.5</v>
      </c>
      <c r="G16" s="130"/>
    </row>
    <row r="17" spans="1:7" ht="27.75" customHeight="1">
      <c r="A17" s="360"/>
      <c r="B17" s="133"/>
      <c r="C17" s="134" t="s">
        <v>787</v>
      </c>
      <c r="D17" s="124" t="s">
        <v>788</v>
      </c>
      <c r="E17" s="125" t="s">
        <v>104</v>
      </c>
      <c r="F17" s="46">
        <f t="shared" si="0"/>
        <v>7.5</v>
      </c>
      <c r="G17" s="130"/>
    </row>
    <row r="18" spans="1:7" ht="27.75" customHeight="1">
      <c r="A18" s="360"/>
      <c r="B18" s="133"/>
      <c r="C18" s="134" t="s">
        <v>789</v>
      </c>
      <c r="D18" s="124" t="s">
        <v>789</v>
      </c>
      <c r="E18" s="125" t="s">
        <v>104</v>
      </c>
      <c r="F18" s="46">
        <f t="shared" si="0"/>
        <v>7.5</v>
      </c>
      <c r="G18" s="130"/>
    </row>
    <row r="19" spans="1:7" ht="27.75" customHeight="1">
      <c r="A19" s="360"/>
      <c r="B19" s="133"/>
      <c r="C19" s="134" t="s">
        <v>790</v>
      </c>
      <c r="D19" s="124" t="s">
        <v>790</v>
      </c>
      <c r="E19" s="125" t="s">
        <v>104</v>
      </c>
      <c r="F19" s="46">
        <f t="shared" si="0"/>
        <v>7.5</v>
      </c>
      <c r="G19" s="130"/>
    </row>
    <row r="20" spans="1:7" ht="27.75" customHeight="1">
      <c r="A20" s="360"/>
      <c r="B20" s="133"/>
      <c r="C20" s="134" t="s">
        <v>791</v>
      </c>
      <c r="D20" s="124" t="s">
        <v>791</v>
      </c>
      <c r="E20" s="125" t="s">
        <v>104</v>
      </c>
      <c r="F20" s="46">
        <f t="shared" si="0"/>
        <v>7.5</v>
      </c>
      <c r="G20" s="130"/>
    </row>
    <row r="21" spans="1:7" ht="27.75" customHeight="1">
      <c r="A21" s="360"/>
      <c r="B21" s="133"/>
      <c r="C21" s="134" t="s">
        <v>792</v>
      </c>
      <c r="D21" s="124" t="s">
        <v>792</v>
      </c>
      <c r="E21" s="125" t="s">
        <v>104</v>
      </c>
      <c r="F21" s="46">
        <f t="shared" si="0"/>
        <v>7.5</v>
      </c>
      <c r="G21" s="130"/>
    </row>
    <row r="22" spans="1:7" ht="27.75" customHeight="1">
      <c r="A22" s="360"/>
      <c r="B22" s="133"/>
      <c r="C22" s="134" t="s">
        <v>793</v>
      </c>
      <c r="D22" s="124" t="s">
        <v>793</v>
      </c>
      <c r="E22" s="125" t="s">
        <v>104</v>
      </c>
      <c r="F22" s="46">
        <f t="shared" si="0"/>
        <v>7.5</v>
      </c>
      <c r="G22" s="130"/>
    </row>
    <row r="23" spans="1:7" ht="27.75" customHeight="1">
      <c r="A23" s="360"/>
      <c r="B23" s="133"/>
      <c r="C23" s="134" t="s">
        <v>794</v>
      </c>
      <c r="D23" s="124" t="s">
        <v>794</v>
      </c>
      <c r="E23" s="125" t="s">
        <v>104</v>
      </c>
      <c r="F23" s="46">
        <f t="shared" si="0"/>
        <v>7.5</v>
      </c>
      <c r="G23" s="130"/>
    </row>
    <row r="24" spans="1:7" ht="27.75" customHeight="1">
      <c r="A24" s="360"/>
      <c r="B24" s="133"/>
      <c r="C24" s="134" t="s">
        <v>795</v>
      </c>
      <c r="D24" s="124" t="s">
        <v>795</v>
      </c>
      <c r="E24" s="125" t="s">
        <v>104</v>
      </c>
      <c r="F24" s="46">
        <f t="shared" si="0"/>
        <v>7.5</v>
      </c>
      <c r="G24" s="130"/>
    </row>
    <row r="25" spans="1:7" ht="27.75" customHeight="1">
      <c r="A25" s="360"/>
      <c r="B25" s="133"/>
      <c r="C25" s="134" t="s">
        <v>796</v>
      </c>
      <c r="D25" s="124" t="s">
        <v>796</v>
      </c>
      <c r="E25" s="125" t="s">
        <v>104</v>
      </c>
      <c r="F25" s="46">
        <f t="shared" si="0"/>
        <v>7.5</v>
      </c>
      <c r="G25" s="130"/>
    </row>
    <row r="26" spans="1:7" ht="27.75" customHeight="1">
      <c r="A26" s="360"/>
      <c r="B26" s="133"/>
      <c r="C26" s="135" t="s">
        <v>797</v>
      </c>
      <c r="D26" s="124" t="s">
        <v>797</v>
      </c>
      <c r="E26" s="125" t="s">
        <v>104</v>
      </c>
      <c r="F26" s="46">
        <f t="shared" si="0"/>
        <v>7.5</v>
      </c>
      <c r="G26" s="130"/>
    </row>
    <row r="27" spans="1:7" ht="27.75" customHeight="1">
      <c r="A27" s="360"/>
      <c r="B27" s="133"/>
      <c r="C27" s="135" t="s">
        <v>798</v>
      </c>
      <c r="D27" s="124" t="s">
        <v>798</v>
      </c>
      <c r="E27" s="125" t="s">
        <v>104</v>
      </c>
      <c r="F27" s="46">
        <f t="shared" si="0"/>
        <v>7.5</v>
      </c>
      <c r="G27" s="130"/>
    </row>
    <row r="28" spans="1:7" ht="27.75" customHeight="1">
      <c r="A28" s="360"/>
      <c r="B28" s="133"/>
      <c r="C28" s="135" t="s">
        <v>799</v>
      </c>
      <c r="D28" s="124" t="s">
        <v>799</v>
      </c>
      <c r="E28" s="125" t="s">
        <v>104</v>
      </c>
      <c r="F28" s="46">
        <f t="shared" si="0"/>
        <v>7.5</v>
      </c>
      <c r="G28" s="130"/>
    </row>
    <row r="29" spans="1:7" ht="27.75" customHeight="1">
      <c r="A29" s="360"/>
      <c r="B29" s="133"/>
      <c r="C29" s="135" t="s">
        <v>800</v>
      </c>
      <c r="D29" s="124" t="s">
        <v>800</v>
      </c>
      <c r="E29" s="125" t="s">
        <v>104</v>
      </c>
      <c r="F29" s="46">
        <f t="shared" si="0"/>
        <v>7.5</v>
      </c>
      <c r="G29" s="130"/>
    </row>
    <row r="30" spans="1:7" ht="27.75" customHeight="1">
      <c r="A30" s="360"/>
      <c r="B30" s="133"/>
      <c r="C30" s="135" t="s">
        <v>801</v>
      </c>
      <c r="D30" s="124" t="s">
        <v>801</v>
      </c>
      <c r="E30" s="125" t="s">
        <v>104</v>
      </c>
      <c r="F30" s="46">
        <f t="shared" si="0"/>
        <v>7.5</v>
      </c>
      <c r="G30" s="130"/>
    </row>
    <row r="31" spans="1:7" ht="27.75" customHeight="1">
      <c r="A31" s="360"/>
      <c r="B31" s="133"/>
      <c r="C31" s="135" t="s">
        <v>802</v>
      </c>
      <c r="D31" s="124" t="s">
        <v>802</v>
      </c>
      <c r="E31" s="125" t="s">
        <v>107</v>
      </c>
      <c r="F31" s="46">
        <f t="shared" si="0"/>
        <v>5.2</v>
      </c>
      <c r="G31" s="130"/>
    </row>
    <row r="32" spans="1:7" ht="27.75" customHeight="1">
      <c r="A32" s="360"/>
      <c r="B32" s="133"/>
      <c r="C32" s="135" t="s">
        <v>803</v>
      </c>
      <c r="D32" s="124" t="s">
        <v>803</v>
      </c>
      <c r="E32" s="125" t="s">
        <v>107</v>
      </c>
      <c r="F32" s="46">
        <f t="shared" si="0"/>
        <v>5.2</v>
      </c>
      <c r="G32" s="130"/>
    </row>
    <row r="33" spans="1:7" ht="27.75" customHeight="1">
      <c r="A33" s="360"/>
      <c r="B33" s="133"/>
      <c r="C33" s="135" t="s">
        <v>804</v>
      </c>
      <c r="D33" s="124" t="s">
        <v>804</v>
      </c>
      <c r="E33" s="125" t="s">
        <v>107</v>
      </c>
      <c r="F33" s="46">
        <f t="shared" si="0"/>
        <v>5.2</v>
      </c>
      <c r="G33" s="130"/>
    </row>
    <row r="34" spans="1:7" ht="27.75" customHeight="1">
      <c r="A34" s="360"/>
      <c r="B34" s="133"/>
      <c r="C34" s="135" t="s">
        <v>805</v>
      </c>
      <c r="D34" s="124" t="s">
        <v>805</v>
      </c>
      <c r="E34" s="125" t="s">
        <v>107</v>
      </c>
      <c r="F34" s="46">
        <f t="shared" si="0"/>
        <v>5.2</v>
      </c>
      <c r="G34" s="130"/>
    </row>
    <row r="35" spans="1:7" ht="27.75" customHeight="1">
      <c r="A35" s="360"/>
      <c r="B35" s="133"/>
      <c r="C35" s="135" t="s">
        <v>806</v>
      </c>
      <c r="D35" s="124" t="s">
        <v>806</v>
      </c>
      <c r="E35" s="125" t="s">
        <v>107</v>
      </c>
      <c r="F35" s="46">
        <f t="shared" si="0"/>
        <v>5.2</v>
      </c>
      <c r="G35" s="130"/>
    </row>
    <row r="36" spans="1:7" ht="27.75" customHeight="1">
      <c r="A36" s="360"/>
      <c r="B36" s="133"/>
      <c r="C36" s="134" t="s">
        <v>807</v>
      </c>
      <c r="D36" s="124" t="s">
        <v>807</v>
      </c>
      <c r="E36" s="125" t="s">
        <v>107</v>
      </c>
      <c r="F36" s="46">
        <f t="shared" si="0"/>
        <v>5.2</v>
      </c>
      <c r="G36" s="130"/>
    </row>
    <row r="37" spans="1:7" ht="27.75" customHeight="1">
      <c r="A37" s="360"/>
      <c r="B37" s="133"/>
      <c r="C37" s="134" t="s">
        <v>808</v>
      </c>
      <c r="D37" s="124" t="s">
        <v>809</v>
      </c>
      <c r="E37" s="125" t="s">
        <v>104</v>
      </c>
      <c r="F37" s="46">
        <f t="shared" si="0"/>
        <v>7.5</v>
      </c>
      <c r="G37" s="130"/>
    </row>
    <row r="38" spans="1:7" ht="27.75" customHeight="1">
      <c r="A38" s="360"/>
      <c r="B38" s="133"/>
      <c r="C38" s="134" t="s">
        <v>810</v>
      </c>
      <c r="D38" s="124" t="s">
        <v>811</v>
      </c>
      <c r="E38" s="125" t="s">
        <v>104</v>
      </c>
      <c r="F38" s="46">
        <f t="shared" si="0"/>
        <v>7.5</v>
      </c>
      <c r="G38" s="130"/>
    </row>
    <row r="39" spans="1:7" ht="27.75" customHeight="1">
      <c r="A39" s="360"/>
      <c r="B39" s="133"/>
      <c r="C39" s="134" t="s">
        <v>812</v>
      </c>
      <c r="D39" s="124" t="s">
        <v>813</v>
      </c>
      <c r="E39" s="125" t="s">
        <v>106</v>
      </c>
      <c r="F39" s="46">
        <f t="shared" si="0"/>
        <v>4</v>
      </c>
      <c r="G39" s="130"/>
    </row>
    <row r="40" spans="1:7" ht="27.75" customHeight="1">
      <c r="A40" s="360"/>
      <c r="B40" s="133"/>
      <c r="C40" s="134" t="s">
        <v>814</v>
      </c>
      <c r="D40" s="124" t="s">
        <v>814</v>
      </c>
      <c r="E40" s="125" t="s">
        <v>107</v>
      </c>
      <c r="F40" s="46">
        <f t="shared" si="0"/>
        <v>5.2</v>
      </c>
      <c r="G40" s="130"/>
    </row>
    <row r="41" spans="1:7" ht="27.75" customHeight="1">
      <c r="A41" s="360"/>
      <c r="B41" s="133"/>
      <c r="C41" s="135" t="s">
        <v>815</v>
      </c>
      <c r="D41" s="124" t="s">
        <v>816</v>
      </c>
      <c r="E41" s="125" t="s">
        <v>107</v>
      </c>
      <c r="F41" s="46">
        <f t="shared" si="0"/>
        <v>5.2</v>
      </c>
      <c r="G41" s="130"/>
    </row>
    <row r="42" spans="1:7" ht="27.75" customHeight="1">
      <c r="A42" s="360"/>
      <c r="B42" s="133"/>
      <c r="C42" s="135" t="s">
        <v>817</v>
      </c>
      <c r="D42" s="124" t="s">
        <v>817</v>
      </c>
      <c r="E42" s="125" t="s">
        <v>107</v>
      </c>
      <c r="F42" s="46">
        <f t="shared" si="0"/>
        <v>5.2</v>
      </c>
      <c r="G42" s="130"/>
    </row>
    <row r="43" spans="1:7" ht="27.75" customHeight="1">
      <c r="A43" s="360"/>
      <c r="B43" s="133"/>
      <c r="C43" s="135" t="s">
        <v>818</v>
      </c>
      <c r="D43" s="124" t="s">
        <v>818</v>
      </c>
      <c r="E43" s="125" t="s">
        <v>107</v>
      </c>
      <c r="F43" s="46">
        <f t="shared" si="0"/>
        <v>5.2</v>
      </c>
      <c r="G43" s="130"/>
    </row>
    <row r="44" spans="1:7" ht="27.75" customHeight="1">
      <c r="A44" s="360"/>
      <c r="B44" s="133"/>
      <c r="C44" s="135" t="s">
        <v>819</v>
      </c>
      <c r="D44" s="124" t="s">
        <v>819</v>
      </c>
      <c r="E44" s="125" t="s">
        <v>107</v>
      </c>
      <c r="F44" s="46">
        <f t="shared" si="0"/>
        <v>5.2</v>
      </c>
      <c r="G44" s="130"/>
    </row>
    <row r="45" spans="1:7" ht="27.75" customHeight="1">
      <c r="A45" s="360"/>
      <c r="B45" s="133"/>
      <c r="C45" s="135" t="s">
        <v>820</v>
      </c>
      <c r="D45" s="124" t="s">
        <v>820</v>
      </c>
      <c r="E45" s="125" t="s">
        <v>106</v>
      </c>
      <c r="F45" s="46">
        <f t="shared" si="0"/>
        <v>4</v>
      </c>
      <c r="G45" s="130"/>
    </row>
    <row r="46" spans="1:7" ht="27.75" customHeight="1">
      <c r="A46" s="360"/>
      <c r="B46" s="133"/>
      <c r="C46" s="135" t="s">
        <v>821</v>
      </c>
      <c r="D46" s="124" t="s">
        <v>821</v>
      </c>
      <c r="E46" s="125" t="s">
        <v>106</v>
      </c>
      <c r="F46" s="46">
        <f t="shared" si="0"/>
        <v>4</v>
      </c>
      <c r="G46" s="130"/>
    </row>
    <row r="47" spans="1:7" ht="27.75" customHeight="1">
      <c r="A47" s="360"/>
      <c r="B47" s="133"/>
      <c r="C47" s="135" t="s">
        <v>822</v>
      </c>
      <c r="D47" s="124" t="s">
        <v>822</v>
      </c>
      <c r="E47" s="125" t="s">
        <v>107</v>
      </c>
      <c r="F47" s="46">
        <f t="shared" si="0"/>
        <v>5.2</v>
      </c>
      <c r="G47" s="130"/>
    </row>
    <row r="48" spans="1:7" ht="27.75" customHeight="1">
      <c r="A48" s="360"/>
      <c r="B48" s="133"/>
      <c r="C48" s="135" t="s">
        <v>823</v>
      </c>
      <c r="D48" s="124" t="s">
        <v>824</v>
      </c>
      <c r="E48" s="125" t="s">
        <v>104</v>
      </c>
      <c r="F48" s="46">
        <f t="shared" si="0"/>
        <v>7.5</v>
      </c>
      <c r="G48" s="130"/>
    </row>
    <row r="49" spans="1:7" ht="27.75" customHeight="1">
      <c r="A49" s="360"/>
      <c r="B49" s="133"/>
      <c r="C49" s="135" t="s">
        <v>825</v>
      </c>
      <c r="D49" s="124" t="s">
        <v>826</v>
      </c>
      <c r="E49" s="125" t="s">
        <v>104</v>
      </c>
      <c r="F49" s="46">
        <f t="shared" si="0"/>
        <v>7.5</v>
      </c>
      <c r="G49" s="130"/>
    </row>
    <row r="50" spans="1:7" ht="27.75" customHeight="1">
      <c r="A50" s="360"/>
      <c r="B50" s="133"/>
      <c r="C50" s="135" t="s">
        <v>827</v>
      </c>
      <c r="D50" s="124" t="s">
        <v>828</v>
      </c>
      <c r="E50" s="125" t="s">
        <v>104</v>
      </c>
      <c r="F50" s="46">
        <f t="shared" si="0"/>
        <v>7.5</v>
      </c>
      <c r="G50" s="130"/>
    </row>
    <row r="51" spans="1:7" ht="27.75" customHeight="1">
      <c r="A51" s="360"/>
      <c r="B51" s="133"/>
      <c r="C51" s="134" t="s">
        <v>829</v>
      </c>
      <c r="D51" s="124" t="s">
        <v>829</v>
      </c>
      <c r="E51" s="125" t="s">
        <v>104</v>
      </c>
      <c r="F51" s="46">
        <f t="shared" si="0"/>
        <v>7.5</v>
      </c>
      <c r="G51" s="130"/>
    </row>
    <row r="52" spans="1:7" ht="27.75" customHeight="1">
      <c r="A52" s="360"/>
      <c r="B52" s="133"/>
      <c r="C52" s="134" t="s">
        <v>830</v>
      </c>
      <c r="D52" s="124" t="s">
        <v>830</v>
      </c>
      <c r="E52" s="125" t="s">
        <v>104</v>
      </c>
      <c r="F52" s="46">
        <f t="shared" si="0"/>
        <v>7.5</v>
      </c>
      <c r="G52" s="130"/>
    </row>
    <row r="53" spans="1:7" ht="27.75" customHeight="1">
      <c r="A53" s="360"/>
      <c r="B53" s="133"/>
      <c r="C53" s="134" t="s">
        <v>831</v>
      </c>
      <c r="D53" s="124" t="s">
        <v>831</v>
      </c>
      <c r="E53" s="125" t="s">
        <v>104</v>
      </c>
      <c r="F53" s="46">
        <f t="shared" si="0"/>
        <v>7.5</v>
      </c>
      <c r="G53" s="130"/>
    </row>
    <row r="54" spans="1:7" ht="27.75" customHeight="1">
      <c r="A54" s="360"/>
      <c r="B54" s="133"/>
      <c r="C54" s="134" t="s">
        <v>832</v>
      </c>
      <c r="D54" s="124" t="s">
        <v>832</v>
      </c>
      <c r="E54" s="125" t="s">
        <v>104</v>
      </c>
      <c r="F54" s="46">
        <f t="shared" si="0"/>
        <v>7.5</v>
      </c>
      <c r="G54" s="130"/>
    </row>
    <row r="55" spans="1:7" ht="27.75" customHeight="1">
      <c r="A55" s="360"/>
      <c r="B55" s="133"/>
      <c r="C55" s="134" t="s">
        <v>833</v>
      </c>
      <c r="D55" s="124" t="s">
        <v>833</v>
      </c>
      <c r="E55" s="125" t="s">
        <v>104</v>
      </c>
      <c r="F55" s="46">
        <f t="shared" si="0"/>
        <v>7.5</v>
      </c>
      <c r="G55" s="130"/>
    </row>
    <row r="56" spans="1:7" ht="27.75" customHeight="1">
      <c r="A56" s="360"/>
      <c r="B56" s="133"/>
      <c r="C56" s="134" t="s">
        <v>834</v>
      </c>
      <c r="D56" s="124" t="s">
        <v>835</v>
      </c>
      <c r="E56" s="125" t="s">
        <v>107</v>
      </c>
      <c r="F56" s="46">
        <f t="shared" si="0"/>
        <v>5.2</v>
      </c>
      <c r="G56" s="130"/>
    </row>
    <row r="57" spans="1:7" ht="27.75" customHeight="1">
      <c r="A57" s="360"/>
      <c r="B57" s="133"/>
      <c r="C57" s="134" t="s">
        <v>836</v>
      </c>
      <c r="D57" s="124" t="s">
        <v>836</v>
      </c>
      <c r="E57" s="125" t="s">
        <v>107</v>
      </c>
      <c r="F57" s="46">
        <f t="shared" si="0"/>
        <v>5.2</v>
      </c>
      <c r="G57" s="130"/>
    </row>
    <row r="58" spans="1:7" ht="27.75" customHeight="1">
      <c r="A58" s="360"/>
      <c r="B58" s="133"/>
      <c r="C58" s="134" t="s">
        <v>837</v>
      </c>
      <c r="D58" s="124" t="s">
        <v>838</v>
      </c>
      <c r="E58" s="125" t="s">
        <v>107</v>
      </c>
      <c r="F58" s="46">
        <f t="shared" si="0"/>
        <v>5.2</v>
      </c>
      <c r="G58" s="130"/>
    </row>
    <row r="59" spans="1:7" ht="27.75" customHeight="1">
      <c r="A59" s="360"/>
      <c r="B59" s="133"/>
      <c r="C59" s="134" t="s">
        <v>839</v>
      </c>
      <c r="D59" s="124" t="s">
        <v>839</v>
      </c>
      <c r="E59" s="125" t="s">
        <v>107</v>
      </c>
      <c r="F59" s="46">
        <f t="shared" si="0"/>
        <v>5.2</v>
      </c>
      <c r="G59" s="130"/>
    </row>
    <row r="60" spans="1:7" ht="27.75" customHeight="1">
      <c r="A60" s="360"/>
      <c r="B60" s="133"/>
      <c r="C60" s="134" t="s">
        <v>840</v>
      </c>
      <c r="D60" s="124" t="s">
        <v>840</v>
      </c>
      <c r="E60" s="125" t="s">
        <v>107</v>
      </c>
      <c r="F60" s="46">
        <f t="shared" si="0"/>
        <v>5.2</v>
      </c>
      <c r="G60" s="130"/>
    </row>
    <row r="61" spans="1:7">
      <c r="F61" t="str">
        <f t="shared" si="0"/>
        <v/>
      </c>
    </row>
    <row r="62" spans="1:7">
      <c r="A62" t="s">
        <v>242</v>
      </c>
      <c r="F62" s="45">
        <f>SUM(F4:F60)</f>
        <v>377.89999999999981</v>
      </c>
    </row>
    <row r="63" spans="1:7">
      <c r="A63" t="s">
        <v>243</v>
      </c>
    </row>
    <row r="64" spans="1:7">
      <c r="A64" t="s">
        <v>244</v>
      </c>
    </row>
    <row r="66" spans="1:7">
      <c r="A66" t="s">
        <v>245</v>
      </c>
    </row>
    <row r="67" spans="1:7">
      <c r="A67" t="s">
        <v>246</v>
      </c>
    </row>
    <row r="68" spans="1:7">
      <c r="A68" t="s">
        <v>247</v>
      </c>
    </row>
    <row r="69" spans="1:7">
      <c r="A69" t="s">
        <v>248</v>
      </c>
    </row>
    <row r="70" spans="1:7">
      <c r="A70" t="s">
        <v>249</v>
      </c>
    </row>
    <row r="71" spans="1:7">
      <c r="A71" t="s">
        <v>250</v>
      </c>
    </row>
    <row r="72" spans="1:7">
      <c r="A72" t="s">
        <v>251</v>
      </c>
    </row>
    <row r="73" spans="1:7">
      <c r="A73" t="s">
        <v>252</v>
      </c>
    </row>
    <row r="74" spans="1:7">
      <c r="A74" t="s">
        <v>253</v>
      </c>
    </row>
    <row r="75" spans="1:7">
      <c r="A75" t="s">
        <v>254</v>
      </c>
    </row>
    <row r="76" spans="1:7">
      <c r="A76" t="s">
        <v>255</v>
      </c>
    </row>
    <row r="77" spans="1:7">
      <c r="G77" t="str">
        <f>IF(F77="","",IF(F77="EI",4,IF(F77="EO",5.2,IF(F77="EQ",3.9,IF(F77="ILF",7.5,IF(F77="EIF",5.4))))))</f>
        <v/>
      </c>
    </row>
  </sheetData>
  <mergeCells count="4">
    <mergeCell ref="A4:A60"/>
    <mergeCell ref="G2:G3"/>
    <mergeCell ref="A1:G1"/>
    <mergeCell ref="A2:D2"/>
  </mergeCells>
  <phoneticPr fontId="4" type="noConversion"/>
  <conditionalFormatting sqref="C4 D4:E5 E6:E60">
    <cfRule type="expression" dxfId="5" priority="164" stopIfTrue="1">
      <formula>#REF!=1</formula>
    </cfRule>
    <cfRule type="expression" dxfId="4" priority="165" stopIfTrue="1">
      <formula>#REF!=1</formula>
    </cfRule>
  </conditionalFormatting>
  <conditionalFormatting sqref="D4:E5 E6:E60 C4">
    <cfRule type="expression" dxfId="3" priority="163" stopIfTrue="1">
      <formula>#REF!=1</formula>
    </cfRule>
  </conditionalFormatting>
  <conditionalFormatting sqref="E4:E60">
    <cfRule type="expression" dxfId="2" priority="157" stopIfTrue="1">
      <formula>#REF!=1</formula>
    </cfRule>
    <cfRule type="expression" dxfId="1" priority="158" stopIfTrue="1">
      <formula>#REF!=1</formula>
    </cfRule>
    <cfRule type="expression" dxfId="0" priority="159" stopIfTrue="1">
      <formula>#REF!=1</formula>
    </cfRule>
  </conditionalFormatting>
  <dataValidations count="1">
    <dataValidation type="list" allowBlank="1" showInputMessage="1" showErrorMessage="1" sqref="E4:E60" xr:uid="{00000000-0002-0000-0D00-000000000000}">
      <formula1>"ILF,EIF,EI,EO,EQ"</formula1>
    </dataValidation>
  </dataValidation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5"/>
  <sheetViews>
    <sheetView view="pageBreakPreview" zoomScaleNormal="100" zoomScaleSheetLayoutView="100" workbookViewId="0">
      <selection activeCell="I17" sqref="I17"/>
    </sheetView>
  </sheetViews>
  <sheetFormatPr defaultColWidth="8.75" defaultRowHeight="13.5"/>
  <cols>
    <col min="1" max="1" width="7.75" style="145" customWidth="1"/>
    <col min="2" max="2" width="32.625" style="145" customWidth="1"/>
    <col min="3" max="3" width="14.625" style="145" customWidth="1"/>
    <col min="4" max="4" width="12.5" style="145" customWidth="1"/>
    <col min="5" max="5" width="10.75" style="145" customWidth="1"/>
    <col min="6" max="6" width="12.375" style="145" customWidth="1"/>
    <col min="7" max="7" width="10.75" style="145" customWidth="1"/>
    <col min="8" max="8" width="14.5" style="145" customWidth="1"/>
    <col min="9" max="9" width="13.5" style="145" customWidth="1"/>
    <col min="10" max="10" width="17.375" style="145" bestFit="1" customWidth="1"/>
    <col min="11" max="16384" width="8.75" style="145"/>
  </cols>
  <sheetData>
    <row r="1" spans="1:9" ht="40.5" customHeight="1">
      <c r="A1" s="397" t="s">
        <v>841</v>
      </c>
      <c r="B1" s="398"/>
      <c r="C1" s="398"/>
      <c r="D1" s="398"/>
      <c r="E1" s="398"/>
      <c r="F1" s="398"/>
      <c r="G1" s="398"/>
      <c r="H1" s="397"/>
    </row>
    <row r="2" spans="1:9">
      <c r="A2" s="146"/>
      <c r="B2" s="147"/>
      <c r="C2" s="147"/>
      <c r="D2" s="147"/>
      <c r="E2" s="147"/>
      <c r="F2" s="147"/>
      <c r="G2" s="147"/>
      <c r="H2" s="148" t="s">
        <v>842</v>
      </c>
    </row>
    <row r="3" spans="1:9">
      <c r="A3" s="147"/>
      <c r="B3" s="147"/>
      <c r="C3" s="147"/>
      <c r="D3" s="147"/>
      <c r="E3" s="147"/>
      <c r="F3" s="147"/>
      <c r="G3" s="147"/>
      <c r="H3" s="148"/>
    </row>
    <row r="4" spans="1:9" ht="14.25" thickBot="1">
      <c r="A4" s="149" t="s">
        <v>843</v>
      </c>
      <c r="B4" s="150"/>
      <c r="C4" s="150"/>
      <c r="D4" s="150"/>
      <c r="E4" s="150"/>
      <c r="F4" s="150"/>
      <c r="G4" s="150"/>
      <c r="H4" s="151" t="s">
        <v>844</v>
      </c>
    </row>
    <row r="5" spans="1:9" ht="27">
      <c r="A5" s="399" t="s">
        <v>845</v>
      </c>
      <c r="B5" s="400"/>
      <c r="C5" s="152" t="s">
        <v>846</v>
      </c>
      <c r="D5" s="152" t="s">
        <v>847</v>
      </c>
      <c r="E5" s="152" t="s">
        <v>848</v>
      </c>
      <c r="F5" s="152" t="s">
        <v>849</v>
      </c>
      <c r="G5" s="152" t="s">
        <v>850</v>
      </c>
      <c r="H5" s="153" t="s">
        <v>851</v>
      </c>
    </row>
    <row r="6" spans="1:9" ht="18" customHeight="1">
      <c r="A6" s="154">
        <v>1</v>
      </c>
      <c r="B6" s="155" t="s">
        <v>852</v>
      </c>
      <c r="C6" s="156" t="s">
        <v>853</v>
      </c>
      <c r="D6" s="157" t="s">
        <v>854</v>
      </c>
      <c r="E6" s="158">
        <f>IFERROR(INDEX($B$28:$E$45,MATCH($C6,$B$28:$B$45,0),MATCH($D6,$B$28:$E$28,0)),"")</f>
        <v>9706020</v>
      </c>
      <c r="F6" s="159">
        <v>6</v>
      </c>
      <c r="G6" s="160">
        <v>0.5</v>
      </c>
      <c r="H6" s="161">
        <f t="shared" ref="H6:H10" si="0">IFERROR(E6*F6*G6,"")</f>
        <v>29118060</v>
      </c>
    </row>
    <row r="7" spans="1:9" ht="18" customHeight="1">
      <c r="A7" s="154">
        <v>2</v>
      </c>
      <c r="B7" s="155" t="s">
        <v>855</v>
      </c>
      <c r="C7" s="156" t="s">
        <v>856</v>
      </c>
      <c r="D7" s="157" t="s">
        <v>854</v>
      </c>
      <c r="E7" s="158">
        <f>IFERROR(INDEX($B$28:$E$45,MATCH($C7,$B$28:$B$45,0),MATCH($D7,$B$28:$E$28,0)),"")</f>
        <v>7751183</v>
      </c>
      <c r="F7" s="159">
        <v>6</v>
      </c>
      <c r="G7" s="160">
        <v>0.3</v>
      </c>
      <c r="H7" s="161">
        <f t="shared" si="0"/>
        <v>13952129.4</v>
      </c>
    </row>
    <row r="8" spans="1:9" ht="18" customHeight="1">
      <c r="A8" s="154">
        <v>3</v>
      </c>
      <c r="B8" s="155" t="s">
        <v>857</v>
      </c>
      <c r="C8" s="162" t="s">
        <v>858</v>
      </c>
      <c r="D8" s="163" t="s">
        <v>859</v>
      </c>
      <c r="E8" s="158">
        <f>IFERROR(INDEX($B$28:$E$45,MATCH($C8,$B$28:$B$45,0),MATCH($D8,$B$28:$E$28,0)),"")</f>
        <v>9692094</v>
      </c>
      <c r="F8" s="164">
        <v>6</v>
      </c>
      <c r="G8" s="165">
        <v>0.3</v>
      </c>
      <c r="H8" s="161">
        <f t="shared" si="0"/>
        <v>17445769.199999999</v>
      </c>
    </row>
    <row r="9" spans="1:9" ht="18" customHeight="1">
      <c r="A9" s="154">
        <v>4</v>
      </c>
      <c r="B9" s="155" t="s">
        <v>860</v>
      </c>
      <c r="C9" s="162" t="s">
        <v>861</v>
      </c>
      <c r="D9" s="163" t="s">
        <v>859</v>
      </c>
      <c r="E9" s="158">
        <f>IFERROR(INDEX($B$28:$E$45,MATCH($C9,$B$28:$B$45,0),MATCH($D9,$B$28:$E$28,0)),"")</f>
        <v>3570557</v>
      </c>
      <c r="F9" s="164">
        <v>6</v>
      </c>
      <c r="G9" s="165">
        <v>0.3</v>
      </c>
      <c r="H9" s="161">
        <f t="shared" si="0"/>
        <v>6427002.5999999996</v>
      </c>
    </row>
    <row r="10" spans="1:9" ht="18" customHeight="1" thickBot="1">
      <c r="A10" s="154">
        <v>5</v>
      </c>
      <c r="B10" s="155" t="s">
        <v>862</v>
      </c>
      <c r="C10" s="166" t="s">
        <v>863</v>
      </c>
      <c r="D10" s="167" t="s">
        <v>854</v>
      </c>
      <c r="E10" s="168">
        <f>IFERROR(INDEX($B$28:$E$45,MATCH($C10,$B$28:$B$45,0),MATCH($D10,$B$28:$E$28,0)),"")</f>
        <v>8997359</v>
      </c>
      <c r="F10" s="169">
        <v>6</v>
      </c>
      <c r="G10" s="170">
        <v>0.5</v>
      </c>
      <c r="H10" s="171">
        <f t="shared" si="0"/>
        <v>26992077</v>
      </c>
    </row>
    <row r="11" spans="1:9" ht="30" customHeight="1" thickBot="1">
      <c r="A11" s="401" t="s">
        <v>864</v>
      </c>
      <c r="B11" s="402"/>
      <c r="C11" s="403" t="s">
        <v>865</v>
      </c>
      <c r="D11" s="403"/>
      <c r="E11" s="403"/>
      <c r="F11" s="403">
        <f>SUMPRODUCT(F6:F10,G6:G10)</f>
        <v>11.399999999999999</v>
      </c>
      <c r="G11" s="403"/>
      <c r="H11" s="172"/>
    </row>
    <row r="12" spans="1:9" ht="30" customHeight="1">
      <c r="A12" s="392" t="s">
        <v>866</v>
      </c>
      <c r="B12" s="393"/>
      <c r="C12" s="394" t="s">
        <v>867</v>
      </c>
      <c r="D12" s="394"/>
      <c r="E12" s="394"/>
      <c r="F12" s="395">
        <f>SUM(H6:H10)</f>
        <v>93935038.199999988</v>
      </c>
      <c r="G12" s="395"/>
      <c r="H12" s="396"/>
    </row>
    <row r="13" spans="1:9" ht="30" customHeight="1">
      <c r="A13" s="173" t="s">
        <v>868</v>
      </c>
      <c r="B13" s="174">
        <v>0</v>
      </c>
      <c r="C13" s="376" t="s">
        <v>869</v>
      </c>
      <c r="D13" s="385"/>
      <c r="E13" s="386"/>
      <c r="F13" s="377">
        <f>F12*B13</f>
        <v>0</v>
      </c>
      <c r="G13" s="377"/>
      <c r="H13" s="378"/>
    </row>
    <row r="14" spans="1:9" ht="30" customHeight="1">
      <c r="A14" s="173" t="s">
        <v>870</v>
      </c>
      <c r="B14" s="174">
        <v>0</v>
      </c>
      <c r="C14" s="376" t="s">
        <v>871</v>
      </c>
      <c r="D14" s="385"/>
      <c r="E14" s="386"/>
      <c r="F14" s="377">
        <f>(F12+F13)*B14</f>
        <v>0</v>
      </c>
      <c r="G14" s="377"/>
      <c r="H14" s="378"/>
    </row>
    <row r="15" spans="1:9" ht="30" customHeight="1">
      <c r="A15" s="387" t="s">
        <v>872</v>
      </c>
      <c r="B15" s="388"/>
      <c r="C15" s="389" t="s">
        <v>873</v>
      </c>
      <c r="D15" s="390"/>
      <c r="E15" s="391"/>
      <c r="F15" s="377"/>
      <c r="G15" s="377"/>
      <c r="H15" s="378"/>
    </row>
    <row r="16" spans="1:9" ht="30" customHeight="1">
      <c r="A16" s="374" t="s">
        <v>874</v>
      </c>
      <c r="B16" s="375"/>
      <c r="C16" s="376" t="s">
        <v>875</v>
      </c>
      <c r="D16" s="376"/>
      <c r="E16" s="376"/>
      <c r="F16" s="377">
        <f>SUM(F12:H15)</f>
        <v>93935038.199999988</v>
      </c>
      <c r="G16" s="377"/>
      <c r="H16" s="378"/>
      <c r="I16" s="175"/>
    </row>
    <row r="17" spans="1:9" ht="30" customHeight="1">
      <c r="A17" s="374" t="s">
        <v>876</v>
      </c>
      <c r="B17" s="375"/>
      <c r="C17" s="376" t="s">
        <v>877</v>
      </c>
      <c r="D17" s="376"/>
      <c r="E17" s="376"/>
      <c r="F17" s="377">
        <v>2727273</v>
      </c>
      <c r="G17" s="377"/>
      <c r="H17" s="378"/>
      <c r="I17" s="176"/>
    </row>
    <row r="18" spans="1:9" ht="30" customHeight="1">
      <c r="A18" s="374" t="s">
        <v>878</v>
      </c>
      <c r="B18" s="375"/>
      <c r="C18" s="376" t="s">
        <v>879</v>
      </c>
      <c r="D18" s="376"/>
      <c r="E18" s="376"/>
      <c r="F18" s="377">
        <f>(F16-F17)*10%</f>
        <v>9120776.5199999996</v>
      </c>
      <c r="G18" s="377"/>
      <c r="H18" s="378"/>
      <c r="I18" s="176"/>
    </row>
    <row r="19" spans="1:9" ht="30" customHeight="1" thickBot="1">
      <c r="A19" s="379" t="s">
        <v>880</v>
      </c>
      <c r="B19" s="380"/>
      <c r="C19" s="381"/>
      <c r="D19" s="382"/>
      <c r="E19" s="381"/>
      <c r="F19" s="383">
        <f>(F16-F17)+F18</f>
        <v>100328541.71999998</v>
      </c>
      <c r="G19" s="383"/>
      <c r="H19" s="384"/>
      <c r="I19" s="175"/>
    </row>
    <row r="20" spans="1:9">
      <c r="A20" s="150" t="s">
        <v>881</v>
      </c>
      <c r="B20" s="150"/>
      <c r="C20" s="150"/>
      <c r="D20" s="150"/>
      <c r="E20" s="150"/>
      <c r="F20" s="150"/>
      <c r="G20" s="150"/>
      <c r="H20" s="150"/>
    </row>
    <row r="21" spans="1:9">
      <c r="A21" s="150"/>
      <c r="B21" s="150"/>
      <c r="C21" s="150"/>
      <c r="D21" s="150"/>
      <c r="E21" s="150"/>
      <c r="F21" s="150"/>
      <c r="G21" s="150"/>
      <c r="H21" s="150"/>
    </row>
    <row r="25" spans="1:9">
      <c r="H25" s="176"/>
    </row>
    <row r="26" spans="1:9">
      <c r="H26" s="176"/>
    </row>
    <row r="27" spans="1:9" ht="14.25" thickBot="1"/>
    <row r="28" spans="1:9">
      <c r="B28" s="177" t="s">
        <v>882</v>
      </c>
      <c r="C28" s="178" t="s">
        <v>854</v>
      </c>
      <c r="D28" s="179" t="s">
        <v>883</v>
      </c>
      <c r="E28" s="180" t="s">
        <v>884</v>
      </c>
    </row>
    <row r="29" spans="1:9">
      <c r="B29" s="181" t="s">
        <v>885</v>
      </c>
      <c r="C29" s="182">
        <v>11597656</v>
      </c>
      <c r="D29" s="183">
        <v>382762</v>
      </c>
      <c r="E29" s="184">
        <v>861867</v>
      </c>
    </row>
    <row r="30" spans="1:9">
      <c r="B30" s="181" t="s">
        <v>853</v>
      </c>
      <c r="C30" s="182">
        <v>9706020</v>
      </c>
      <c r="D30" s="183">
        <v>245906</v>
      </c>
      <c r="E30" s="184">
        <v>536687</v>
      </c>
    </row>
    <row r="31" spans="1:9">
      <c r="B31" s="181" t="s">
        <v>863</v>
      </c>
      <c r="C31" s="182">
        <v>8997359</v>
      </c>
      <c r="D31" s="183">
        <v>393290</v>
      </c>
      <c r="E31" s="184">
        <v>484501</v>
      </c>
    </row>
    <row r="32" spans="1:9">
      <c r="B32" s="181" t="s">
        <v>856</v>
      </c>
      <c r="C32" s="182">
        <v>7751183</v>
      </c>
      <c r="D32" s="183">
        <v>286364</v>
      </c>
      <c r="E32" s="184">
        <v>473463</v>
      </c>
    </row>
    <row r="33" spans="2:5">
      <c r="B33" s="181" t="s">
        <v>886</v>
      </c>
      <c r="C33" s="182">
        <v>9145473</v>
      </c>
      <c r="D33" s="183">
        <v>325796</v>
      </c>
      <c r="E33" s="184">
        <v>596003</v>
      </c>
    </row>
    <row r="34" spans="2:5">
      <c r="B34" s="181" t="s">
        <v>887</v>
      </c>
      <c r="C34" s="182">
        <v>10147745</v>
      </c>
      <c r="D34" s="183">
        <v>352792</v>
      </c>
      <c r="E34" s="184">
        <v>576762</v>
      </c>
    </row>
    <row r="35" spans="2:5">
      <c r="B35" s="181" t="s">
        <v>888</v>
      </c>
      <c r="C35" s="182">
        <v>6727260</v>
      </c>
      <c r="D35" s="183">
        <v>203098</v>
      </c>
      <c r="E35" s="184">
        <v>412481</v>
      </c>
    </row>
    <row r="36" spans="2:5">
      <c r="B36" s="181" t="s">
        <v>889</v>
      </c>
      <c r="C36" s="182">
        <v>5176203</v>
      </c>
      <c r="D36" s="183">
        <v>166546</v>
      </c>
      <c r="E36" s="184">
        <v>407614</v>
      </c>
    </row>
    <row r="37" spans="2:5">
      <c r="B37" s="181" t="s">
        <v>890</v>
      </c>
      <c r="C37" s="182">
        <v>6943457</v>
      </c>
      <c r="D37" s="183">
        <v>219087</v>
      </c>
      <c r="E37" s="184">
        <v>449024</v>
      </c>
    </row>
    <row r="38" spans="2:5">
      <c r="B38" s="181" t="s">
        <v>891</v>
      </c>
      <c r="C38" s="182">
        <v>6099042</v>
      </c>
      <c r="D38" s="183">
        <v>198151</v>
      </c>
      <c r="E38" s="184">
        <v>350864</v>
      </c>
    </row>
    <row r="39" spans="2:5">
      <c r="B39" s="181" t="s">
        <v>892</v>
      </c>
      <c r="C39" s="182">
        <v>10154626</v>
      </c>
      <c r="D39" s="183">
        <v>283779</v>
      </c>
      <c r="E39" s="184">
        <v>783171</v>
      </c>
    </row>
    <row r="40" spans="2:5">
      <c r="B40" s="181" t="s">
        <v>893</v>
      </c>
      <c r="C40" s="182">
        <v>5058021</v>
      </c>
      <c r="D40" s="183">
        <v>171544</v>
      </c>
      <c r="E40" s="184">
        <v>282867</v>
      </c>
    </row>
    <row r="41" spans="2:5">
      <c r="B41" s="181" t="s">
        <v>894</v>
      </c>
      <c r="C41" s="182">
        <v>11056617</v>
      </c>
      <c r="D41" s="183">
        <v>345896</v>
      </c>
      <c r="E41" s="184">
        <v>768806</v>
      </c>
    </row>
    <row r="42" spans="2:5">
      <c r="B42" s="181" t="s">
        <v>858</v>
      </c>
      <c r="C42" s="182">
        <v>9692094</v>
      </c>
      <c r="D42" s="183">
        <v>340542</v>
      </c>
      <c r="E42" s="184">
        <v>611823</v>
      </c>
    </row>
    <row r="43" spans="2:5">
      <c r="B43" s="181" t="s">
        <v>861</v>
      </c>
      <c r="C43" s="182">
        <v>3570557</v>
      </c>
      <c r="D43" s="183">
        <v>140339</v>
      </c>
      <c r="E43" s="184">
        <v>189811</v>
      </c>
    </row>
    <row r="44" spans="2:5">
      <c r="B44" s="181" t="s">
        <v>895</v>
      </c>
      <c r="C44" s="182">
        <v>10351376</v>
      </c>
      <c r="D44" s="183">
        <v>439246</v>
      </c>
      <c r="E44" s="184">
        <v>551942</v>
      </c>
    </row>
    <row r="45" spans="2:5" ht="14.25" thickBot="1">
      <c r="B45" s="185" t="s">
        <v>896</v>
      </c>
      <c r="C45" s="186">
        <v>9857100</v>
      </c>
      <c r="D45" s="187">
        <v>337176</v>
      </c>
      <c r="E45" s="188">
        <v>538271</v>
      </c>
    </row>
  </sheetData>
  <mergeCells count="27">
    <mergeCell ref="A12:B12"/>
    <mergeCell ref="C12:E12"/>
    <mergeCell ref="F12:H12"/>
    <mergeCell ref="A1:H1"/>
    <mergeCell ref="A5:B5"/>
    <mergeCell ref="A11:B11"/>
    <mergeCell ref="C11:E11"/>
    <mergeCell ref="F11:G11"/>
    <mergeCell ref="C13:E13"/>
    <mergeCell ref="F13:H13"/>
    <mergeCell ref="C14:E14"/>
    <mergeCell ref="F14:H14"/>
    <mergeCell ref="A15:B15"/>
    <mergeCell ref="C15:E15"/>
    <mergeCell ref="F15:H15"/>
    <mergeCell ref="A16:B16"/>
    <mergeCell ref="C16:E16"/>
    <mergeCell ref="F16:H16"/>
    <mergeCell ref="A17:B17"/>
    <mergeCell ref="C17:E17"/>
    <mergeCell ref="F17:H17"/>
    <mergeCell ref="A18:B18"/>
    <mergeCell ref="C18:E18"/>
    <mergeCell ref="F18:H18"/>
    <mergeCell ref="A19:B19"/>
    <mergeCell ref="C19:E19"/>
    <mergeCell ref="F19:H19"/>
  </mergeCells>
  <phoneticPr fontId="4" type="noConversion"/>
  <dataValidations count="2">
    <dataValidation type="list" allowBlank="1" showInputMessage="1" showErrorMessage="1" sqref="C6" xr:uid="{00000000-0002-0000-0E00-000000000000}">
      <formula1>$B$29:$B$45</formula1>
    </dataValidation>
    <dataValidation type="list" allowBlank="1" showInputMessage="1" showErrorMessage="1" sqref="D6:D10" xr:uid="{00000000-0002-0000-0E00-000001000000}">
      <formula1>"상위,평균,하위"</formula1>
    </dataValidation>
  </dataValidations>
  <pageMargins left="0.7" right="0.7" top="0.75" bottom="0.75" header="0.3" footer="0.3"/>
  <pageSetup paperSize="9" scale="6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'07. 25년 SW기술자 평균임금'!$A$4:$A$20</xm:f>
          </x14:formula1>
          <xm:sqref>C7:C10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G34"/>
  <sheetViews>
    <sheetView zoomScaleNormal="100" zoomScaleSheetLayoutView="100" workbookViewId="0">
      <selection activeCell="J13" sqref="J13"/>
    </sheetView>
  </sheetViews>
  <sheetFormatPr defaultColWidth="8.75" defaultRowHeight="13.5"/>
  <cols>
    <col min="1" max="1" width="7.75" style="191" customWidth="1"/>
    <col min="2" max="2" width="32.625" style="191" customWidth="1"/>
    <col min="3" max="3" width="14.625" style="191" customWidth="1"/>
    <col min="4" max="6" width="11.75" style="191" customWidth="1"/>
    <col min="7" max="7" width="38.75" style="191" customWidth="1"/>
    <col min="8" max="16384" width="8.75" style="191"/>
  </cols>
  <sheetData>
    <row r="1" spans="1:7" ht="36">
      <c r="A1" s="189" t="s">
        <v>897</v>
      </c>
      <c r="B1" s="190"/>
      <c r="C1" s="190"/>
      <c r="D1" s="190"/>
      <c r="E1" s="190"/>
      <c r="F1" s="190"/>
      <c r="G1" s="190"/>
    </row>
    <row r="2" spans="1:7" ht="14.25" thickBot="1">
      <c r="A2" s="192"/>
      <c r="B2" s="192"/>
      <c r="C2" s="193"/>
      <c r="D2" s="193"/>
      <c r="E2" s="193"/>
      <c r="F2" s="193"/>
      <c r="G2" s="192"/>
    </row>
    <row r="3" spans="1:7" ht="27">
      <c r="A3" s="177" t="s">
        <v>882</v>
      </c>
      <c r="B3" s="178" t="s">
        <v>898</v>
      </c>
      <c r="C3" s="194" t="s">
        <v>899</v>
      </c>
      <c r="D3" s="178" t="s">
        <v>900</v>
      </c>
      <c r="E3" s="179" t="s">
        <v>901</v>
      </c>
      <c r="F3" s="179" t="s">
        <v>902</v>
      </c>
      <c r="G3" s="180" t="s">
        <v>903</v>
      </c>
    </row>
    <row r="4" spans="1:7">
      <c r="A4" s="181" t="s">
        <v>885</v>
      </c>
      <c r="B4" s="182">
        <v>11597656</v>
      </c>
      <c r="C4" s="182">
        <v>562993</v>
      </c>
      <c r="D4" s="182">
        <v>70374</v>
      </c>
      <c r="E4" s="183">
        <v>382762</v>
      </c>
      <c r="F4" s="183">
        <v>861867</v>
      </c>
      <c r="G4" s="195"/>
    </row>
    <row r="5" spans="1:7">
      <c r="A5" s="181" t="s">
        <v>853</v>
      </c>
      <c r="B5" s="182">
        <v>9706020</v>
      </c>
      <c r="C5" s="182">
        <v>471166</v>
      </c>
      <c r="D5" s="182">
        <v>58896</v>
      </c>
      <c r="E5" s="183">
        <v>245906</v>
      </c>
      <c r="F5" s="183">
        <v>536687</v>
      </c>
      <c r="G5" s="195" t="s">
        <v>904</v>
      </c>
    </row>
    <row r="6" spans="1:7">
      <c r="A6" s="181">
        <v>1</v>
      </c>
      <c r="B6" s="182" t="s">
        <v>852</v>
      </c>
      <c r="C6" s="182">
        <v>436765</v>
      </c>
      <c r="D6" s="182">
        <v>54596</v>
      </c>
      <c r="E6" s="183">
        <v>393290</v>
      </c>
      <c r="F6" s="183">
        <v>484501</v>
      </c>
      <c r="G6" s="195"/>
    </row>
    <row r="7" spans="1:7">
      <c r="A7" s="181">
        <v>2</v>
      </c>
      <c r="B7" s="182" t="s">
        <v>855</v>
      </c>
      <c r="C7" s="182">
        <v>376271</v>
      </c>
      <c r="D7" s="182">
        <v>47034</v>
      </c>
      <c r="E7" s="183">
        <v>286364</v>
      </c>
      <c r="F7" s="183">
        <v>473463</v>
      </c>
      <c r="G7" s="195"/>
    </row>
    <row r="8" spans="1:7">
      <c r="A8" s="181">
        <v>3</v>
      </c>
      <c r="B8" s="182" t="s">
        <v>857</v>
      </c>
      <c r="C8" s="182">
        <v>443955</v>
      </c>
      <c r="D8" s="182">
        <v>55494</v>
      </c>
      <c r="E8" s="183">
        <v>325796</v>
      </c>
      <c r="F8" s="183">
        <v>596003</v>
      </c>
      <c r="G8" s="195"/>
    </row>
    <row r="9" spans="1:7" ht="27">
      <c r="A9" s="181">
        <v>4</v>
      </c>
      <c r="B9" s="182" t="s">
        <v>860</v>
      </c>
      <c r="C9" s="182">
        <v>492609</v>
      </c>
      <c r="D9" s="182">
        <v>61576</v>
      </c>
      <c r="E9" s="183">
        <v>352792</v>
      </c>
      <c r="F9" s="183">
        <v>576762</v>
      </c>
      <c r="G9" s="195" t="s">
        <v>905</v>
      </c>
    </row>
    <row r="10" spans="1:7">
      <c r="A10" s="181">
        <v>5</v>
      </c>
      <c r="B10" s="182" t="s">
        <v>862</v>
      </c>
      <c r="C10" s="182">
        <v>326566</v>
      </c>
      <c r="D10" s="182">
        <v>40821</v>
      </c>
      <c r="E10" s="183">
        <v>203098</v>
      </c>
      <c r="F10" s="183">
        <v>412481</v>
      </c>
      <c r="G10" s="195" t="s">
        <v>906</v>
      </c>
    </row>
    <row r="11" spans="1:7">
      <c r="A11" s="181" t="s">
        <v>889</v>
      </c>
      <c r="B11" s="182">
        <v>5176203</v>
      </c>
      <c r="C11" s="182">
        <v>251272</v>
      </c>
      <c r="D11" s="182">
        <v>31409</v>
      </c>
      <c r="E11" s="183">
        <v>166546</v>
      </c>
      <c r="F11" s="183">
        <v>407614</v>
      </c>
      <c r="G11" s="195"/>
    </row>
    <row r="12" spans="1:7">
      <c r="A12" s="181" t="s">
        <v>890</v>
      </c>
      <c r="B12" s="182">
        <v>6943457</v>
      </c>
      <c r="C12" s="182">
        <v>337061</v>
      </c>
      <c r="D12" s="182">
        <v>42133</v>
      </c>
      <c r="E12" s="183">
        <v>219087</v>
      </c>
      <c r="F12" s="183">
        <v>449024</v>
      </c>
      <c r="G12" s="195" t="s">
        <v>907</v>
      </c>
    </row>
    <row r="13" spans="1:7">
      <c r="A13" s="181" t="s">
        <v>891</v>
      </c>
      <c r="B13" s="182">
        <v>6099042</v>
      </c>
      <c r="C13" s="182">
        <v>296070</v>
      </c>
      <c r="D13" s="182">
        <v>37009</v>
      </c>
      <c r="E13" s="183">
        <v>198151</v>
      </c>
      <c r="F13" s="183">
        <v>350864</v>
      </c>
      <c r="G13" s="195" t="s">
        <v>908</v>
      </c>
    </row>
    <row r="14" spans="1:7" ht="27">
      <c r="A14" s="181" t="s">
        <v>892</v>
      </c>
      <c r="B14" s="182">
        <v>10154626</v>
      </c>
      <c r="C14" s="182">
        <v>492943</v>
      </c>
      <c r="D14" s="182">
        <v>61618</v>
      </c>
      <c r="E14" s="183">
        <v>283779</v>
      </c>
      <c r="F14" s="183">
        <v>783171</v>
      </c>
      <c r="G14" s="195" t="s">
        <v>909</v>
      </c>
    </row>
    <row r="15" spans="1:7">
      <c r="A15" s="181" t="s">
        <v>893</v>
      </c>
      <c r="B15" s="182">
        <v>5058021</v>
      </c>
      <c r="C15" s="182">
        <v>245535</v>
      </c>
      <c r="D15" s="182">
        <v>30692</v>
      </c>
      <c r="E15" s="183">
        <v>171544</v>
      </c>
      <c r="F15" s="183">
        <v>282867</v>
      </c>
      <c r="G15" s="195"/>
    </row>
    <row r="16" spans="1:7">
      <c r="A16" s="181" t="s">
        <v>894</v>
      </c>
      <c r="B16" s="182">
        <v>11056617</v>
      </c>
      <c r="C16" s="182">
        <v>536729</v>
      </c>
      <c r="D16" s="182">
        <v>67091</v>
      </c>
      <c r="E16" s="183">
        <v>345896</v>
      </c>
      <c r="F16" s="183">
        <v>768806</v>
      </c>
      <c r="G16" s="195" t="s">
        <v>910</v>
      </c>
    </row>
    <row r="17" spans="1:7">
      <c r="A17" s="181" t="s">
        <v>858</v>
      </c>
      <c r="B17" s="182">
        <v>9692094</v>
      </c>
      <c r="C17" s="182">
        <v>470490</v>
      </c>
      <c r="D17" s="182">
        <v>58811</v>
      </c>
      <c r="E17" s="183">
        <v>340542</v>
      </c>
      <c r="F17" s="183">
        <v>611823</v>
      </c>
      <c r="G17" s="195"/>
    </row>
    <row r="18" spans="1:7">
      <c r="A18" s="181" t="s">
        <v>861</v>
      </c>
      <c r="B18" s="182">
        <v>3570557</v>
      </c>
      <c r="C18" s="182">
        <v>173328</v>
      </c>
      <c r="D18" s="182">
        <v>21666</v>
      </c>
      <c r="E18" s="183">
        <v>140339</v>
      </c>
      <c r="F18" s="183">
        <v>189811</v>
      </c>
      <c r="G18" s="195"/>
    </row>
    <row r="19" spans="1:7">
      <c r="A19" s="181" t="s">
        <v>895</v>
      </c>
      <c r="B19" s="182">
        <v>10351376</v>
      </c>
      <c r="C19" s="182">
        <v>502494</v>
      </c>
      <c r="D19" s="182">
        <v>62812</v>
      </c>
      <c r="E19" s="183">
        <v>439246</v>
      </c>
      <c r="F19" s="183">
        <v>551942</v>
      </c>
      <c r="G19" s="195"/>
    </row>
    <row r="20" spans="1:7" ht="14.25" thickBot="1">
      <c r="A20" s="185" t="s">
        <v>896</v>
      </c>
      <c r="B20" s="186">
        <v>9857100</v>
      </c>
      <c r="C20" s="186">
        <v>478500</v>
      </c>
      <c r="D20" s="186">
        <v>59813</v>
      </c>
      <c r="E20" s="187">
        <v>337176</v>
      </c>
      <c r="F20" s="187">
        <v>538271</v>
      </c>
      <c r="G20" s="196" t="s">
        <v>911</v>
      </c>
    </row>
    <row r="21" spans="1:7">
      <c r="A21" s="192"/>
      <c r="B21" s="192"/>
      <c r="C21" s="193"/>
      <c r="D21" s="193"/>
      <c r="E21" s="193"/>
      <c r="F21" s="193"/>
      <c r="G21" s="192"/>
    </row>
    <row r="22" spans="1:7">
      <c r="A22" s="192" t="s">
        <v>912</v>
      </c>
      <c r="B22" s="192"/>
      <c r="C22" s="193"/>
      <c r="D22" s="193"/>
      <c r="E22" s="193"/>
      <c r="F22" s="193"/>
      <c r="G22" s="192"/>
    </row>
    <row r="23" spans="1:7">
      <c r="A23" s="192" t="s">
        <v>913</v>
      </c>
      <c r="B23" s="192"/>
      <c r="C23" s="193"/>
      <c r="D23" s="193"/>
      <c r="E23" s="193"/>
      <c r="F23" s="193"/>
      <c r="G23" s="192"/>
    </row>
    <row r="24" spans="1:7">
      <c r="A24" s="191" t="s">
        <v>914</v>
      </c>
    </row>
    <row r="25" spans="1:7">
      <c r="A25" s="191" t="s">
        <v>915</v>
      </c>
    </row>
    <row r="26" spans="1:7">
      <c r="A26" s="191" t="s">
        <v>916</v>
      </c>
    </row>
    <row r="27" spans="1:7">
      <c r="A27" s="191" t="s">
        <v>917</v>
      </c>
    </row>
    <row r="28" spans="1:7">
      <c r="A28" s="191" t="s">
        <v>918</v>
      </c>
    </row>
    <row r="29" spans="1:7">
      <c r="A29" s="191" t="s">
        <v>919</v>
      </c>
    </row>
    <row r="30" spans="1:7">
      <c r="A30" s="191" t="s">
        <v>920</v>
      </c>
    </row>
    <row r="31" spans="1:7">
      <c r="A31" s="191" t="s">
        <v>921</v>
      </c>
    </row>
    <row r="32" spans="1:7">
      <c r="A32" s="191" t="s">
        <v>922</v>
      </c>
    </row>
    <row r="33" spans="1:1">
      <c r="A33" s="191" t="s">
        <v>923</v>
      </c>
    </row>
    <row r="34" spans="1:1">
      <c r="A34" s="191" t="s">
        <v>924</v>
      </c>
    </row>
  </sheetData>
  <phoneticPr fontId="4" type="noConversion"/>
  <pageMargins left="0.7" right="0.7" top="0.75" bottom="0.75" header="0.3" footer="0.3"/>
  <pageSetup paperSize="9" scale="72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5"/>
  <sheetViews>
    <sheetView topLeftCell="A12" workbookViewId="0">
      <selection activeCell="B52" sqref="B52"/>
    </sheetView>
  </sheetViews>
  <sheetFormatPr defaultColWidth="9" defaultRowHeight="16.5"/>
  <cols>
    <col min="1" max="1" width="7.75" style="197" customWidth="1"/>
    <col min="2" max="2" width="32.625" style="197" customWidth="1"/>
    <col min="3" max="3" width="14.625" style="216" customWidth="1"/>
    <col min="4" max="4" width="14.375" style="216" customWidth="1"/>
    <col min="5" max="5" width="64.5" style="197" customWidth="1"/>
    <col min="6" max="6" width="36.75" style="217" customWidth="1"/>
    <col min="7" max="16384" width="9" style="197"/>
  </cols>
  <sheetData>
    <row r="1" spans="1:6" ht="23.25" customHeight="1">
      <c r="A1" s="413" t="s">
        <v>925</v>
      </c>
      <c r="B1" s="413"/>
      <c r="C1" s="413"/>
      <c r="D1" s="413"/>
      <c r="E1" s="413"/>
      <c r="F1" s="413"/>
    </row>
    <row r="2" spans="1:6" ht="12" customHeight="1">
      <c r="A2" s="198"/>
      <c r="B2" s="198"/>
      <c r="C2" s="198"/>
      <c r="D2" s="198"/>
      <c r="E2" s="198"/>
      <c r="F2" s="199"/>
    </row>
    <row r="3" spans="1:6">
      <c r="A3" s="200" t="s">
        <v>926</v>
      </c>
      <c r="B3" s="200" t="s">
        <v>927</v>
      </c>
      <c r="C3" s="200" t="s">
        <v>928</v>
      </c>
      <c r="D3" s="200" t="s">
        <v>929</v>
      </c>
      <c r="E3" s="200" t="s">
        <v>930</v>
      </c>
      <c r="F3" s="200" t="s">
        <v>931</v>
      </c>
    </row>
    <row r="4" spans="1:6" customFormat="1" ht="24">
      <c r="A4" s="201">
        <v>1</v>
      </c>
      <c r="B4" s="404" t="s">
        <v>932</v>
      </c>
      <c r="C4" s="202" t="s">
        <v>933</v>
      </c>
      <c r="D4" s="201" t="s">
        <v>934</v>
      </c>
      <c r="E4" s="203" t="s">
        <v>935</v>
      </c>
      <c r="F4" s="204" t="s">
        <v>936</v>
      </c>
    </row>
    <row r="5" spans="1:6" ht="36">
      <c r="A5" s="404">
        <v>2</v>
      </c>
      <c r="B5" s="405"/>
      <c r="C5" s="407" t="s">
        <v>937</v>
      </c>
      <c r="D5" s="201" t="s">
        <v>938</v>
      </c>
      <c r="E5" s="203" t="s">
        <v>939</v>
      </c>
      <c r="F5" s="204" t="s">
        <v>940</v>
      </c>
    </row>
    <row r="6" spans="1:6" ht="27.75" customHeight="1">
      <c r="A6" s="406"/>
      <c r="B6" s="405"/>
      <c r="C6" s="409"/>
      <c r="D6" s="201" t="s">
        <v>941</v>
      </c>
      <c r="E6" s="203" t="s">
        <v>942</v>
      </c>
      <c r="F6" s="204" t="s">
        <v>943</v>
      </c>
    </row>
    <row r="7" spans="1:6" ht="26.25">
      <c r="A7" s="404">
        <v>2</v>
      </c>
      <c r="B7" s="405"/>
      <c r="C7" s="407" t="s">
        <v>944</v>
      </c>
      <c r="D7" s="404" t="s">
        <v>945</v>
      </c>
      <c r="E7" s="205" t="s">
        <v>946</v>
      </c>
      <c r="F7" s="414" t="s">
        <v>947</v>
      </c>
    </row>
    <row r="8" spans="1:6" ht="5.25" customHeight="1">
      <c r="A8" s="405"/>
      <c r="B8" s="405"/>
      <c r="C8" s="408"/>
      <c r="D8" s="405"/>
      <c r="E8" s="206"/>
      <c r="F8" s="411"/>
    </row>
    <row r="9" spans="1:6" ht="24" customHeight="1">
      <c r="A9" s="405"/>
      <c r="B9" s="405"/>
      <c r="C9" s="408"/>
      <c r="D9" s="405"/>
      <c r="E9" s="415" t="s">
        <v>948</v>
      </c>
      <c r="F9" s="411"/>
    </row>
    <row r="10" spans="1:6">
      <c r="A10" s="405"/>
      <c r="B10" s="405"/>
      <c r="C10" s="408"/>
      <c r="D10" s="405"/>
      <c r="E10" s="416"/>
      <c r="F10" s="412"/>
    </row>
    <row r="11" spans="1:6" ht="75.75" customHeight="1">
      <c r="A11" s="201">
        <v>4</v>
      </c>
      <c r="B11" s="406"/>
      <c r="C11" s="202" t="s">
        <v>949</v>
      </c>
      <c r="D11" s="201" t="s">
        <v>950</v>
      </c>
      <c r="E11" s="203" t="s">
        <v>951</v>
      </c>
      <c r="F11" s="204" t="s">
        <v>952</v>
      </c>
    </row>
    <row r="12" spans="1:6" ht="24">
      <c r="A12" s="201">
        <v>5</v>
      </c>
      <c r="B12" s="207" t="s">
        <v>953</v>
      </c>
      <c r="C12" s="202" t="s">
        <v>954</v>
      </c>
      <c r="D12" s="201" t="s">
        <v>953</v>
      </c>
      <c r="E12" s="203" t="s">
        <v>955</v>
      </c>
      <c r="F12" s="208" t="s">
        <v>956</v>
      </c>
    </row>
    <row r="13" spans="1:6" ht="24">
      <c r="A13" s="404">
        <v>6</v>
      </c>
      <c r="B13" s="404" t="s">
        <v>957</v>
      </c>
      <c r="C13" s="407" t="s">
        <v>958</v>
      </c>
      <c r="D13" s="201" t="s">
        <v>959</v>
      </c>
      <c r="E13" s="203" t="s">
        <v>960</v>
      </c>
      <c r="F13" s="204" t="s">
        <v>961</v>
      </c>
    </row>
    <row r="14" spans="1:6" ht="72.75" customHeight="1">
      <c r="A14" s="405"/>
      <c r="B14" s="405"/>
      <c r="C14" s="408"/>
      <c r="D14" s="207" t="s">
        <v>962</v>
      </c>
      <c r="E14" s="209" t="s">
        <v>963</v>
      </c>
      <c r="F14" s="204" t="s">
        <v>964</v>
      </c>
    </row>
    <row r="15" spans="1:6" ht="48">
      <c r="A15" s="406"/>
      <c r="B15" s="406"/>
      <c r="C15" s="409"/>
      <c r="D15" s="201" t="s">
        <v>965</v>
      </c>
      <c r="E15" s="203" t="s">
        <v>966</v>
      </c>
      <c r="F15" s="204" t="s">
        <v>967</v>
      </c>
    </row>
    <row r="16" spans="1:6" ht="36">
      <c r="A16" s="404">
        <v>7</v>
      </c>
      <c r="B16" s="404" t="s">
        <v>968</v>
      </c>
      <c r="C16" s="407" t="s">
        <v>969</v>
      </c>
      <c r="D16" s="201" t="s">
        <v>970</v>
      </c>
      <c r="E16" s="203" t="s">
        <v>971</v>
      </c>
      <c r="F16" s="204" t="s">
        <v>972</v>
      </c>
    </row>
    <row r="17" spans="1:6" ht="45.75" customHeight="1">
      <c r="A17" s="406"/>
      <c r="B17" s="405"/>
      <c r="C17" s="409"/>
      <c r="D17" s="201" t="s">
        <v>973</v>
      </c>
      <c r="E17" s="203" t="s">
        <v>974</v>
      </c>
      <c r="F17" s="204" t="s">
        <v>975</v>
      </c>
    </row>
    <row r="18" spans="1:6" ht="39.75" customHeight="1">
      <c r="A18" s="207">
        <v>8</v>
      </c>
      <c r="B18" s="405"/>
      <c r="C18" s="210" t="s">
        <v>976</v>
      </c>
      <c r="D18" s="207" t="s">
        <v>977</v>
      </c>
      <c r="E18" s="209" t="s">
        <v>978</v>
      </c>
      <c r="F18" s="211" t="s">
        <v>979</v>
      </c>
    </row>
    <row r="19" spans="1:6" ht="36.75" customHeight="1">
      <c r="A19" s="404">
        <v>9</v>
      </c>
      <c r="B19" s="405"/>
      <c r="C19" s="407" t="s">
        <v>980</v>
      </c>
      <c r="D19" s="404" t="s">
        <v>981</v>
      </c>
      <c r="E19" s="205" t="s">
        <v>982</v>
      </c>
      <c r="F19" s="410" t="s">
        <v>983</v>
      </c>
    </row>
    <row r="20" spans="1:6" ht="6.75" customHeight="1">
      <c r="A20" s="405"/>
      <c r="B20" s="405"/>
      <c r="C20" s="408"/>
      <c r="D20" s="405"/>
      <c r="E20" s="206"/>
      <c r="F20" s="411"/>
    </row>
    <row r="21" spans="1:6" ht="99.75" customHeight="1">
      <c r="A21" s="405"/>
      <c r="B21" s="405"/>
      <c r="C21" s="408"/>
      <c r="D21" s="405"/>
      <c r="E21" s="212" t="s">
        <v>984</v>
      </c>
      <c r="F21" s="412"/>
    </row>
    <row r="22" spans="1:6" ht="27.75" customHeight="1">
      <c r="A22" s="404">
        <v>10</v>
      </c>
      <c r="B22" s="404" t="s">
        <v>985</v>
      </c>
      <c r="C22" s="407" t="s">
        <v>986</v>
      </c>
      <c r="D22" s="201" t="s">
        <v>987</v>
      </c>
      <c r="E22" s="203" t="s">
        <v>988</v>
      </c>
      <c r="F22" s="204" t="s">
        <v>989</v>
      </c>
    </row>
    <row r="23" spans="1:6" ht="38.25" customHeight="1">
      <c r="A23" s="406"/>
      <c r="B23" s="406"/>
      <c r="C23" s="409"/>
      <c r="D23" s="201" t="s">
        <v>990</v>
      </c>
      <c r="E23" s="203" t="s">
        <v>991</v>
      </c>
      <c r="F23" s="204" t="s">
        <v>992</v>
      </c>
    </row>
    <row r="24" spans="1:6" ht="39.75" customHeight="1">
      <c r="A24" s="404">
        <v>11</v>
      </c>
      <c r="B24" s="404" t="s">
        <v>993</v>
      </c>
      <c r="C24" s="407" t="s">
        <v>994</v>
      </c>
      <c r="D24" s="207" t="s">
        <v>995</v>
      </c>
      <c r="E24" s="209" t="s">
        <v>996</v>
      </c>
      <c r="F24" s="204" t="s">
        <v>997</v>
      </c>
    </row>
    <row r="25" spans="1:6" ht="27.75" customHeight="1">
      <c r="A25" s="405"/>
      <c r="B25" s="405"/>
      <c r="C25" s="408"/>
      <c r="D25" s="201" t="s">
        <v>998</v>
      </c>
      <c r="E25" s="203" t="s">
        <v>999</v>
      </c>
      <c r="F25" s="204" t="s">
        <v>1000</v>
      </c>
    </row>
    <row r="26" spans="1:6" ht="39" customHeight="1">
      <c r="A26" s="406"/>
      <c r="B26" s="405"/>
      <c r="C26" s="409"/>
      <c r="D26" s="201" t="s">
        <v>1001</v>
      </c>
      <c r="E26" s="203" t="s">
        <v>1002</v>
      </c>
      <c r="F26" s="204" t="s">
        <v>1003</v>
      </c>
    </row>
    <row r="27" spans="1:6" ht="41.25" customHeight="1">
      <c r="A27" s="207">
        <v>12</v>
      </c>
      <c r="B27" s="405"/>
      <c r="C27" s="210" t="s">
        <v>1004</v>
      </c>
      <c r="D27" s="207" t="s">
        <v>1005</v>
      </c>
      <c r="E27" s="205" t="s">
        <v>1006</v>
      </c>
      <c r="F27" s="204" t="s">
        <v>1007</v>
      </c>
    </row>
    <row r="28" spans="1:6" ht="36">
      <c r="A28" s="404">
        <v>13</v>
      </c>
      <c r="B28" s="404" t="s">
        <v>1008</v>
      </c>
      <c r="C28" s="407" t="s">
        <v>1009</v>
      </c>
      <c r="D28" s="201" t="s">
        <v>1010</v>
      </c>
      <c r="E28" s="213" t="s">
        <v>1011</v>
      </c>
      <c r="F28" s="204" t="s">
        <v>1012</v>
      </c>
    </row>
    <row r="29" spans="1:6" ht="27" customHeight="1">
      <c r="A29" s="405"/>
      <c r="B29" s="405"/>
      <c r="C29" s="408"/>
      <c r="D29" s="201" t="s">
        <v>1013</v>
      </c>
      <c r="E29" s="213" t="s">
        <v>1014</v>
      </c>
      <c r="F29" s="204" t="s">
        <v>1015</v>
      </c>
    </row>
    <row r="30" spans="1:6" ht="36">
      <c r="A30" s="406"/>
      <c r="B30" s="406"/>
      <c r="C30" s="409"/>
      <c r="D30" s="201" t="s">
        <v>1016</v>
      </c>
      <c r="E30" s="213" t="s">
        <v>1017</v>
      </c>
      <c r="F30" s="204" t="s">
        <v>1018</v>
      </c>
    </row>
    <row r="31" spans="1:6" ht="65.25" customHeight="1">
      <c r="A31" s="207">
        <v>14</v>
      </c>
      <c r="B31" s="404" t="s">
        <v>1019</v>
      </c>
      <c r="C31" s="210" t="s">
        <v>1020</v>
      </c>
      <c r="D31" s="207" t="s">
        <v>1019</v>
      </c>
      <c r="E31" s="205" t="s">
        <v>1021</v>
      </c>
      <c r="F31" s="204" t="s">
        <v>1022</v>
      </c>
    </row>
    <row r="32" spans="1:6" ht="29.25" customHeight="1">
      <c r="A32" s="201">
        <v>15</v>
      </c>
      <c r="B32" s="405"/>
      <c r="C32" s="202" t="s">
        <v>1023</v>
      </c>
      <c r="D32" s="201" t="s">
        <v>1024</v>
      </c>
      <c r="E32" s="213" t="s">
        <v>1025</v>
      </c>
      <c r="F32" s="214" t="s">
        <v>1026</v>
      </c>
    </row>
    <row r="33" spans="1:6" ht="48">
      <c r="A33" s="201">
        <v>16</v>
      </c>
      <c r="B33" s="405"/>
      <c r="C33" s="202" t="s">
        <v>1027</v>
      </c>
      <c r="D33" s="201" t="s">
        <v>1027</v>
      </c>
      <c r="E33" s="213" t="s">
        <v>1028</v>
      </c>
      <c r="F33" s="215" t="s">
        <v>1029</v>
      </c>
    </row>
    <row r="34" spans="1:6" ht="40.5" customHeight="1">
      <c r="A34" s="404">
        <v>17</v>
      </c>
      <c r="B34" s="404" t="s">
        <v>1030</v>
      </c>
      <c r="C34" s="407" t="s">
        <v>1031</v>
      </c>
      <c r="D34" s="201" t="s">
        <v>1032</v>
      </c>
      <c r="E34" s="213" t="s">
        <v>1033</v>
      </c>
      <c r="F34" s="214" t="s">
        <v>1034</v>
      </c>
    </row>
    <row r="35" spans="1:6" ht="52.5" customHeight="1">
      <c r="A35" s="406"/>
      <c r="B35" s="406"/>
      <c r="C35" s="409"/>
      <c r="D35" s="201" t="s">
        <v>1035</v>
      </c>
      <c r="E35" s="213" t="s">
        <v>1036</v>
      </c>
      <c r="F35" s="214" t="s">
        <v>1037</v>
      </c>
    </row>
  </sheetData>
  <mergeCells count="32">
    <mergeCell ref="A1:F1"/>
    <mergeCell ref="B4:B11"/>
    <mergeCell ref="A5:A6"/>
    <mergeCell ref="C5:C6"/>
    <mergeCell ref="A7:A10"/>
    <mergeCell ref="C7:C10"/>
    <mergeCell ref="D7:D10"/>
    <mergeCell ref="F7:F10"/>
    <mergeCell ref="E9:E10"/>
    <mergeCell ref="A24:A26"/>
    <mergeCell ref="B24:B27"/>
    <mergeCell ref="C24:C26"/>
    <mergeCell ref="A13:A15"/>
    <mergeCell ref="B13:B15"/>
    <mergeCell ref="C13:C15"/>
    <mergeCell ref="A16:A17"/>
    <mergeCell ref="B16:B21"/>
    <mergeCell ref="C16:C17"/>
    <mergeCell ref="A19:A21"/>
    <mergeCell ref="C19:C21"/>
    <mergeCell ref="D19:D21"/>
    <mergeCell ref="F19:F21"/>
    <mergeCell ref="A22:A23"/>
    <mergeCell ref="B22:B23"/>
    <mergeCell ref="C22:C23"/>
    <mergeCell ref="A28:A30"/>
    <mergeCell ref="B28:B30"/>
    <mergeCell ref="C28:C30"/>
    <mergeCell ref="B31:B33"/>
    <mergeCell ref="A34:A35"/>
    <mergeCell ref="B34:B35"/>
    <mergeCell ref="C34:C35"/>
  </mergeCells>
  <phoneticPr fontId="4" type="noConversion"/>
  <pageMargins left="0.27559055118110237" right="0.23622047244094491" top="0.55118110236220474" bottom="0.31496062992125984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LX</dc:creator>
  <cp:keywords/>
  <dc:description/>
  <cp:lastModifiedBy/>
  <cp:revision/>
  <dcterms:created xsi:type="dcterms:W3CDTF">2022-03-03T10:25:36Z</dcterms:created>
  <dcterms:modified xsi:type="dcterms:W3CDTF">2026-03-31T06:29:43Z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NTU4IiwibG9nVGltZSI6IjIwMjUtMTItMjNUMDM6MDA6NTlaIiwicElEIjoxLCJ0cmFjZUlkIjoiNEUzNEVGQkNENkQ4NEVCMjk1RUM2NTUzNUUxMTYyMzQiLCJ1c2VyQ29kZSI6IlkwODQwOTIwIn0sIm5vZGUyIjp7ImRzZCI6IjAxMDAwMDAwMDAwMDI1NTgiLCJsb2dUaW1lIjoiMjAyNS0xMi0yM1QwMzowMDo1OVoiLCJwSUQiOjEsInRyYWNlSWQiOiI0RTM0RUZCQ0Q2RDg0RUIyOTVFQzY1NTM1RTExNjIzNCIsInVzZXJDb2RlIjoiWTA4NDA5MjAifSwibm9kZTMiOnsiZHNkIjoiMDEwMDAwMDAwMDAwMjU1OCIsImxvZ1RpbWUiOiIyMDI1LTEyLTIzVDAzOjAwOjU5WiIsInBJRCI6MSwidHJhY2VJZCI6IjRFMzRFRkJDRDZEODRFQjI5NUVDNjU1MzVFMTE2MjM0IiwidXNlckNvZGUiOiJZMDg0MDkyMCJ9LCJub2RlNCI6eyJkc2QiOiIwMTAwMDAwMDAwMDAyNTU4IiwibG9nVGltZSI6IjIwMjUtMTItMjNUMDM6MDA6NTlaIiwicElEIjoxLCJ0cmFjZUlkIjoiNEUzNEVGQkNENkQ4NEVCMjk1RUM2NTUzNUUxMTYyMzQiLCJ1c2VyQ29kZSI6IlkwODQwOTIwIn0sIm5vZGU1Ijp7ImRzZCI6IjAwMDAwMDAwMDAwMDAwMDAiLCJsb2dUaW1lIjoiMjAyNS0xMi0yNFQwNTowNDo1M1oiLCJwSUQiOjIwNDgsInRyYWNlSWQiOiI4NTE0RDE0QzkxM0I0Qzk4OUU4MjQ4RjM1NTAzODU1NiIsInVzZXJDb2RlIjoiWTA4NDA5MjAifSwibm9kZUNvdW50IjoyfQ==</vt:lpwstr>
  </property>
</Properties>
</file>